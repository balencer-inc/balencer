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saitoyuuki/Desktop/"/>
    </mc:Choice>
  </mc:AlternateContent>
  <xr:revisionPtr revIDLastSave="0" documentId="8_{593C83E5-44C1-0647-89A4-D21E86060CC6}" xr6:coauthVersionLast="47" xr6:coauthVersionMax="47" xr10:uidLastSave="{00000000-0000-0000-0000-000000000000}"/>
  <bookViews>
    <workbookView xWindow="0" yWindow="740" windowWidth="28480" windowHeight="16660" tabRatio="500" activeTab="1" xr2:uid="{00000000-000D-0000-FFFF-FFFF00000000}"/>
  </bookViews>
  <sheets>
    <sheet name="価格表" sheetId="1" r:id="rId1"/>
    <sheet name="クリエイター報酬一覧" sheetId="2" r:id="rId2"/>
    <sheet name="設計メモ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3" i="2" l="1"/>
  <c r="I35" i="2"/>
  <c r="J35" i="2" s="1"/>
  <c r="H35" i="2"/>
  <c r="E35" i="2"/>
  <c r="F35" i="2" s="1"/>
  <c r="C35" i="2"/>
  <c r="D35" i="2" s="1"/>
  <c r="I34" i="2"/>
  <c r="J34" i="2" s="1"/>
  <c r="H34" i="2"/>
  <c r="E34" i="2"/>
  <c r="F34" i="2" s="1"/>
  <c r="C34" i="2"/>
  <c r="D34" i="2" s="1"/>
  <c r="I33" i="2"/>
  <c r="J33" i="2" s="1"/>
  <c r="H33" i="2"/>
  <c r="E33" i="2"/>
  <c r="F33" i="2" s="1"/>
  <c r="C33" i="2"/>
  <c r="D33" i="2" s="1"/>
  <c r="I32" i="2"/>
  <c r="J32" i="2" s="1"/>
  <c r="H32" i="2"/>
  <c r="E32" i="2"/>
  <c r="F32" i="2" s="1"/>
  <c r="D32" i="2"/>
  <c r="C32" i="2"/>
  <c r="I31" i="2"/>
  <c r="J31" i="2" s="1"/>
  <c r="H31" i="2"/>
  <c r="F31" i="2"/>
  <c r="E31" i="2"/>
  <c r="D31" i="2"/>
  <c r="C31" i="2"/>
  <c r="I30" i="2"/>
  <c r="J30" i="2" s="1"/>
  <c r="H30" i="2"/>
  <c r="E30" i="2"/>
  <c r="F30" i="2" s="1"/>
  <c r="C30" i="2"/>
  <c r="D30" i="2" s="1"/>
  <c r="J29" i="2"/>
  <c r="I29" i="2"/>
  <c r="H29" i="2"/>
  <c r="E29" i="2"/>
  <c r="F29" i="2" s="1"/>
  <c r="D29" i="2"/>
  <c r="C29" i="2"/>
  <c r="J28" i="2"/>
  <c r="I28" i="2"/>
  <c r="H28" i="2"/>
  <c r="E28" i="2"/>
  <c r="F28" i="2" s="1"/>
  <c r="C28" i="2"/>
  <c r="D28" i="2" s="1"/>
  <c r="I27" i="2"/>
  <c r="J27" i="2" s="1"/>
  <c r="H27" i="2"/>
  <c r="E27" i="2"/>
  <c r="F27" i="2" s="1"/>
  <c r="C27" i="2"/>
  <c r="D27" i="2" s="1"/>
  <c r="J26" i="2"/>
  <c r="I26" i="2"/>
  <c r="H26" i="2"/>
  <c r="F26" i="2"/>
  <c r="E26" i="2"/>
  <c r="C26" i="2"/>
  <c r="D26" i="2" s="1"/>
  <c r="I25" i="2"/>
  <c r="J25" i="2" s="1"/>
  <c r="H25" i="2"/>
  <c r="F25" i="2"/>
  <c r="E25" i="2"/>
  <c r="C25" i="2"/>
  <c r="D25" i="2" s="1"/>
  <c r="I24" i="2"/>
  <c r="J24" i="2" s="1"/>
  <c r="H24" i="2"/>
  <c r="E24" i="2"/>
  <c r="F24" i="2" s="1"/>
  <c r="D24" i="2"/>
  <c r="C24" i="2"/>
  <c r="I23" i="2"/>
  <c r="H23" i="2"/>
  <c r="F23" i="2"/>
  <c r="E23" i="2"/>
  <c r="D23" i="2"/>
  <c r="C23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G25" i="1"/>
  <c r="H25" i="1" s="1"/>
  <c r="F25" i="1"/>
  <c r="D25" i="1"/>
  <c r="G24" i="1"/>
  <c r="H24" i="1" s="1"/>
  <c r="F24" i="1"/>
  <c r="D24" i="1"/>
  <c r="G23" i="1"/>
  <c r="H23" i="1" s="1"/>
  <c r="F23" i="1"/>
  <c r="D23" i="1"/>
  <c r="G22" i="1"/>
  <c r="H22" i="1" s="1"/>
  <c r="F22" i="1"/>
  <c r="D22" i="1"/>
  <c r="G21" i="1"/>
  <c r="H21" i="1" s="1"/>
  <c r="F21" i="1"/>
  <c r="D21" i="1"/>
  <c r="G20" i="1"/>
  <c r="H20" i="1" s="1"/>
  <c r="F20" i="1"/>
  <c r="D20" i="1"/>
  <c r="G19" i="1"/>
  <c r="H19" i="1" s="1"/>
  <c r="F19" i="1"/>
  <c r="D19" i="1"/>
  <c r="G18" i="1"/>
  <c r="H18" i="1" s="1"/>
  <c r="F18" i="1"/>
  <c r="D18" i="1"/>
  <c r="G17" i="1"/>
  <c r="H17" i="1" s="1"/>
  <c r="F17" i="1"/>
  <c r="D17" i="1"/>
  <c r="G16" i="1"/>
  <c r="H16" i="1" s="1"/>
  <c r="F16" i="1"/>
  <c r="D16" i="1"/>
  <c r="G15" i="1"/>
  <c r="H15" i="1" s="1"/>
  <c r="F15" i="1"/>
  <c r="D15" i="1"/>
  <c r="G14" i="1"/>
  <c r="H14" i="1" s="1"/>
  <c r="F14" i="1"/>
  <c r="D14" i="1"/>
  <c r="G13" i="1"/>
  <c r="H13" i="1" s="1"/>
  <c r="F13" i="1"/>
  <c r="D13" i="1"/>
  <c r="G12" i="1"/>
  <c r="H12" i="1" s="1"/>
  <c r="F12" i="1"/>
  <c r="D12" i="1"/>
  <c r="G11" i="1"/>
  <c r="H11" i="1" s="1"/>
  <c r="F11" i="1"/>
  <c r="D11" i="1"/>
  <c r="G10" i="1"/>
  <c r="H10" i="1" s="1"/>
  <c r="F10" i="1"/>
  <c r="D10" i="1"/>
  <c r="G9" i="1"/>
  <c r="H9" i="1" s="1"/>
  <c r="F9" i="1"/>
  <c r="D9" i="1"/>
  <c r="G8" i="1"/>
  <c r="H8" i="1" s="1"/>
  <c r="F8" i="1"/>
  <c r="D8" i="1"/>
  <c r="G7" i="1"/>
  <c r="H7" i="1" s="1"/>
  <c r="F7" i="1"/>
  <c r="D7" i="1"/>
  <c r="G6" i="1"/>
  <c r="H6" i="1" s="1"/>
  <c r="F6" i="1"/>
  <c r="D6" i="1"/>
  <c r="G5" i="1"/>
  <c r="H5" i="1" s="1"/>
  <c r="F5" i="1"/>
  <c r="D5" i="1"/>
</calcChain>
</file>

<file path=xl/sharedStrings.xml><?xml version="1.0" encoding="utf-8"?>
<sst xmlns="http://schemas.openxmlformats.org/spreadsheetml/2006/main" count="162" uniqueCount="129">
  <si>
    <t>有限会社北麓 ｜ 商品ラインナップ・販売価格表（税抜）</t>
  </si>
  <si>
    <r>
      <rPr>
        <sz val="9"/>
        <color rgb="FF666666"/>
        <rFont val="Noto Sans CJK SC"/>
        <family val="2"/>
      </rPr>
      <t>クリエイター原価は販売価格の</t>
    </r>
    <r>
      <rPr>
        <sz val="9"/>
        <color rgb="FF666666"/>
        <rFont val="Yu Gothic"/>
        <family val="3"/>
        <charset val="128"/>
      </rPr>
      <t>45%</t>
    </r>
    <r>
      <rPr>
        <sz val="9"/>
        <color rgb="FF666666"/>
        <rFont val="Noto Sans CJK SC"/>
        <family val="2"/>
      </rPr>
      <t>以内を上限に設計。残り</t>
    </r>
    <r>
      <rPr>
        <sz val="9"/>
        <color rgb="FF666666"/>
        <rFont val="Yu Gothic"/>
        <family val="3"/>
        <charset val="128"/>
      </rPr>
      <t>55%</t>
    </r>
    <r>
      <rPr>
        <sz val="9"/>
        <color rgb="FF666666"/>
        <rFont val="Noto Sans CJK SC"/>
        <family val="2"/>
      </rPr>
      <t>以上が北麓粗利（社内ディレクション・営業・固定費・利益の原資）</t>
    </r>
  </si>
  <si>
    <t>カテゴリ</t>
  </si>
  <si>
    <t>商品・プラン</t>
  </si>
  <si>
    <t>販売価格</t>
  </si>
  <si>
    <r>
      <rPr>
        <b/>
        <sz val="10"/>
        <color rgb="FFFFFFFF"/>
        <rFont val="Noto Sans CJK SC"/>
        <family val="2"/>
      </rPr>
      <t>原価上限</t>
    </r>
    <r>
      <rPr>
        <b/>
        <sz val="10"/>
        <color rgb="FFFFFFFF"/>
        <rFont val="Yu Gothic"/>
        <family val="3"/>
        <charset val="128"/>
      </rPr>
      <t>(45%)</t>
    </r>
  </si>
  <si>
    <t>想定クリエイター原価</t>
  </si>
  <si>
    <t>原価率</t>
  </si>
  <si>
    <t>北麓粗利</t>
  </si>
  <si>
    <t>粗利率</t>
  </si>
  <si>
    <t>区分・備考</t>
  </si>
  <si>
    <t>採用動画</t>
  </si>
  <si>
    <r>
      <rPr>
        <sz val="10"/>
        <color rgb="FF222222"/>
        <rFont val="Noto Sans CJK SC"/>
        <family val="2"/>
      </rPr>
      <t>ライト（既存素材中心・</t>
    </r>
    <r>
      <rPr>
        <sz val="10"/>
        <color rgb="FF222222"/>
        <rFont val="Yu Gothic"/>
        <family val="3"/>
        <charset val="128"/>
      </rPr>
      <t>1</t>
    </r>
    <r>
      <rPr>
        <sz val="10"/>
        <color rgb="FF222222"/>
        <rFont val="Noto Sans CJK SC"/>
        <family val="2"/>
      </rPr>
      <t>〜</t>
    </r>
    <r>
      <rPr>
        <sz val="10"/>
        <color rgb="FF222222"/>
        <rFont val="Yu Gothic"/>
        <family val="3"/>
        <charset val="128"/>
      </rPr>
      <t>2</t>
    </r>
    <r>
      <rPr>
        <sz val="10"/>
        <color rgb="FF222222"/>
        <rFont val="Noto Sans CJK SC"/>
        <family val="2"/>
      </rPr>
      <t>分）</t>
    </r>
  </si>
  <si>
    <t>標準</t>
  </si>
  <si>
    <r>
      <rPr>
        <sz val="10"/>
        <color rgb="FF222222"/>
        <rFont val="Noto Sans CJK SC"/>
        <family val="2"/>
      </rPr>
      <t>スタンダード（撮影込・</t>
    </r>
    <r>
      <rPr>
        <sz val="10"/>
        <color rgb="FF222222"/>
        <rFont val="Yu Gothic"/>
        <family val="3"/>
        <charset val="128"/>
      </rPr>
      <t>3</t>
    </r>
    <r>
      <rPr>
        <sz val="10"/>
        <color rgb="FF222222"/>
        <rFont val="Noto Sans CJK SC"/>
        <family val="2"/>
      </rPr>
      <t>分前後）</t>
    </r>
  </si>
  <si>
    <t>プレミアム（複数日撮影・複数本納品）</t>
  </si>
  <si>
    <r>
      <rPr>
        <sz val="10"/>
        <color rgb="FF222222"/>
        <rFont val="Noto Sans CJK SC"/>
        <family val="2"/>
      </rPr>
      <t>会社紹介・</t>
    </r>
    <r>
      <rPr>
        <sz val="10"/>
        <color rgb="FF222222"/>
        <rFont val="Yu Gothic"/>
        <family val="3"/>
        <charset val="128"/>
      </rPr>
      <t>PR</t>
    </r>
    <r>
      <rPr>
        <sz val="10"/>
        <color rgb="FF222222"/>
        <rFont val="Noto Sans CJK SC"/>
        <family val="2"/>
      </rPr>
      <t>動画</t>
    </r>
  </si>
  <si>
    <r>
      <rPr>
        <sz val="10"/>
        <color rgb="FF222222"/>
        <rFont val="Noto Sans CJK SC"/>
        <family val="2"/>
      </rPr>
      <t>スタンダード（</t>
    </r>
    <r>
      <rPr>
        <sz val="10"/>
        <color rgb="FF222222"/>
        <rFont val="Yu Gothic"/>
        <family val="3"/>
        <charset val="128"/>
      </rPr>
      <t>1</t>
    </r>
    <r>
      <rPr>
        <sz val="10"/>
        <color rgb="FF222222"/>
        <rFont val="Noto Sans CJK SC"/>
        <family val="2"/>
      </rPr>
      <t>日撮影・</t>
    </r>
    <r>
      <rPr>
        <sz val="10"/>
        <color rgb="FF222222"/>
        <rFont val="Yu Gothic"/>
        <family val="3"/>
        <charset val="128"/>
      </rPr>
      <t>3</t>
    </r>
    <r>
      <rPr>
        <sz val="10"/>
        <color rgb="FF222222"/>
        <rFont val="Noto Sans CJK SC"/>
        <family val="2"/>
      </rPr>
      <t>分）</t>
    </r>
  </si>
  <si>
    <r>
      <rPr>
        <sz val="10"/>
        <color rgb="FF222222"/>
        <rFont val="Noto Sans CJK SC"/>
        <family val="2"/>
      </rPr>
      <t>プレミアム（演出強化・線描写</t>
    </r>
    <r>
      <rPr>
        <sz val="10"/>
        <color rgb="FF222222"/>
        <rFont val="Yu Gothic"/>
        <family val="3"/>
        <charset val="128"/>
      </rPr>
      <t>/CG</t>
    </r>
    <r>
      <rPr>
        <sz val="10"/>
        <color rgb="FF222222"/>
        <rFont val="Noto Sans CJK SC"/>
        <family val="2"/>
      </rPr>
      <t>要素）</t>
    </r>
  </si>
  <si>
    <t>撮って出し・イベント収録</t>
  </si>
  <si>
    <r>
      <rPr>
        <sz val="10"/>
        <color rgb="FF222222"/>
        <rFont val="Noto Sans CJK SC"/>
        <family val="2"/>
      </rPr>
      <t>ライト（半日・</t>
    </r>
    <r>
      <rPr>
        <sz val="10"/>
        <color rgb="FF222222"/>
        <rFont val="Yu Gothic"/>
        <family val="3"/>
        <charset val="128"/>
      </rPr>
      <t>1</t>
    </r>
    <r>
      <rPr>
        <sz val="10"/>
        <color rgb="FF222222"/>
        <rFont val="Noto Sans CJK SC"/>
        <family val="2"/>
      </rPr>
      <t>カメ・即納）</t>
    </r>
  </si>
  <si>
    <t>スタンダード（終日・編集込）</t>
  </si>
  <si>
    <t>プレミアム（複数カメ・大型イベント）</t>
  </si>
  <si>
    <r>
      <rPr>
        <sz val="10"/>
        <color rgb="FF222222"/>
        <rFont val="Noto Sans CJK SC"/>
        <family val="2"/>
      </rPr>
      <t xml:space="preserve">ゲーム・エンタメ </t>
    </r>
    <r>
      <rPr>
        <sz val="10"/>
        <color rgb="FF222222"/>
        <rFont val="Yu Gothic"/>
        <family val="3"/>
        <charset val="128"/>
      </rPr>
      <t>PV/</t>
    </r>
    <r>
      <rPr>
        <sz val="10"/>
        <color rgb="FF222222"/>
        <rFont val="Noto Sans CJK SC"/>
        <family val="2"/>
      </rPr>
      <t>トレーラー</t>
    </r>
  </si>
  <si>
    <r>
      <rPr>
        <sz val="10"/>
        <color rgb="FF222222"/>
        <rFont val="Noto Sans CJK SC"/>
        <family val="2"/>
      </rPr>
      <t>スタンダード（</t>
    </r>
    <r>
      <rPr>
        <sz val="10"/>
        <color rgb="FF222222"/>
        <rFont val="Yu Gothic"/>
        <family val="3"/>
        <charset val="128"/>
      </rPr>
      <t>30</t>
    </r>
    <r>
      <rPr>
        <sz val="10"/>
        <color rgb="FF222222"/>
        <rFont val="Noto Sans CJK SC"/>
        <family val="2"/>
      </rPr>
      <t>〜</t>
    </r>
    <r>
      <rPr>
        <sz val="10"/>
        <color rgb="FF222222"/>
        <rFont val="Yu Gothic"/>
        <family val="3"/>
        <charset val="128"/>
      </rPr>
      <t>60</t>
    </r>
    <r>
      <rPr>
        <sz val="10"/>
        <color rgb="FF222222"/>
        <rFont val="Noto Sans CJK SC"/>
        <family val="2"/>
      </rPr>
      <t>秒）</t>
    </r>
  </si>
  <si>
    <t>高粗利</t>
  </si>
  <si>
    <t>プレミアム（本格演出・複数尺）</t>
  </si>
  <si>
    <t>ライブ配信</t>
  </si>
  <si>
    <r>
      <rPr>
        <sz val="10"/>
        <color rgb="FF222222"/>
        <rFont val="Noto Sans CJK SC"/>
        <family val="2"/>
      </rPr>
      <t>スタンダード（単発・</t>
    </r>
    <r>
      <rPr>
        <sz val="10"/>
        <color rgb="FF222222"/>
        <rFont val="Yu Gothic"/>
        <family val="3"/>
        <charset val="128"/>
      </rPr>
      <t>1</t>
    </r>
    <r>
      <rPr>
        <sz val="10"/>
        <color rgb="FF222222"/>
        <rFont val="Noto Sans CJK SC"/>
        <family val="2"/>
      </rPr>
      <t>元）</t>
    </r>
  </si>
  <si>
    <r>
      <rPr>
        <sz val="10"/>
        <color rgb="FF222222"/>
        <rFont val="Noto Sans CJK SC"/>
        <family val="2"/>
      </rPr>
      <t>プレミアム（中〜大型・多元</t>
    </r>
    <r>
      <rPr>
        <sz val="10"/>
        <color rgb="FF222222"/>
        <rFont val="Yu Gothic"/>
        <family val="3"/>
        <charset val="128"/>
      </rPr>
      <t>/</t>
    </r>
    <r>
      <rPr>
        <sz val="10"/>
        <color rgb="FF222222"/>
        <rFont val="Noto Sans CJK SC"/>
        <family val="2"/>
      </rPr>
      <t>複数カメ）</t>
    </r>
  </si>
  <si>
    <r>
      <rPr>
        <sz val="10"/>
        <color rgb="FF222222"/>
        <rFont val="Yu Gothic"/>
        <family val="3"/>
        <charset val="128"/>
      </rPr>
      <t>MV</t>
    </r>
    <r>
      <rPr>
        <sz val="10"/>
        <color rgb="FF222222"/>
        <rFont val="Noto Sans CJK SC"/>
        <family val="2"/>
      </rPr>
      <t>・</t>
    </r>
    <r>
      <rPr>
        <sz val="10"/>
        <color rgb="FF222222"/>
        <rFont val="Yu Gothic"/>
        <family val="3"/>
        <charset val="128"/>
      </rPr>
      <t>CG</t>
    </r>
    <r>
      <rPr>
        <sz val="10"/>
        <color rgb="FF222222"/>
        <rFont val="Noto Sans CJK SC"/>
        <family val="2"/>
      </rPr>
      <t>・ハイエンド映像</t>
    </r>
  </si>
  <si>
    <t>スタンダード基準（個別見積）</t>
  </si>
  <si>
    <t>個別見積</t>
  </si>
  <si>
    <t>スポット大型基準（個別見積）</t>
  </si>
  <si>
    <r>
      <rPr>
        <sz val="10"/>
        <color rgb="FF222222"/>
        <rFont val="Yu Gothic"/>
        <family val="3"/>
        <charset val="128"/>
      </rPr>
      <t>Web</t>
    </r>
    <r>
      <rPr>
        <sz val="10"/>
        <color rgb="FF222222"/>
        <rFont val="Noto Sans CJK SC"/>
        <family val="2"/>
      </rPr>
      <t>制作</t>
    </r>
  </si>
  <si>
    <r>
      <rPr>
        <sz val="10"/>
        <color rgb="FF222222"/>
        <rFont val="Yu Gothic"/>
        <family val="3"/>
        <charset val="128"/>
      </rPr>
      <t>LP/</t>
    </r>
    <r>
      <rPr>
        <sz val="10"/>
        <color rgb="FF222222"/>
        <rFont val="Noto Sans CJK SC"/>
        <family val="2"/>
      </rPr>
      <t>特設サイト</t>
    </r>
  </si>
  <si>
    <t>コーポレートサイト</t>
  </si>
  <si>
    <r>
      <rPr>
        <sz val="10"/>
        <color rgb="FF222222"/>
        <rFont val="Yu Gothic"/>
        <family val="3"/>
        <charset val="128"/>
      </rPr>
      <t>Web</t>
    </r>
    <r>
      <rPr>
        <sz val="10"/>
        <color rgb="FF222222"/>
        <rFont val="Noto Sans CJK SC"/>
        <family val="2"/>
      </rPr>
      <t>保守</t>
    </r>
  </si>
  <si>
    <t>保守管理（月額・ライト）</t>
  </si>
  <si>
    <t>月額・継続</t>
  </si>
  <si>
    <t>保守管理（月額・標準）</t>
  </si>
  <si>
    <t>絵コンテ・企画構成</t>
  </si>
  <si>
    <r>
      <rPr>
        <sz val="10"/>
        <color rgb="FF222222"/>
        <rFont val="Noto Sans CJK SC"/>
        <family val="2"/>
      </rPr>
      <t>絵コンテ</t>
    </r>
    <r>
      <rPr>
        <sz val="10"/>
        <color rgb="FF222222"/>
        <rFont val="Yu Gothic"/>
        <family val="3"/>
        <charset val="128"/>
      </rPr>
      <t>/</t>
    </r>
    <r>
      <rPr>
        <sz val="10"/>
        <color rgb="FF222222"/>
        <rFont val="Noto Sans CJK SC"/>
        <family val="2"/>
      </rPr>
      <t>構成（単体受注）</t>
    </r>
  </si>
  <si>
    <t>※単体は原価率注意</t>
  </si>
  <si>
    <t>アドバイザー・コンサル</t>
  </si>
  <si>
    <t>アドバイザー（月額・継続）</t>
  </si>
  <si>
    <t>内製・高粗利</t>
  </si>
  <si>
    <t>講師・登壇</t>
  </si>
  <si>
    <r>
      <rPr>
        <sz val="10"/>
        <color rgb="FF222222"/>
        <rFont val="Noto Sans CJK SC"/>
        <family val="2"/>
      </rPr>
      <t>講師（</t>
    </r>
    <r>
      <rPr>
        <sz val="10"/>
        <color rgb="FF222222"/>
        <rFont val="Yu Gothic"/>
        <family val="3"/>
        <charset val="128"/>
      </rPr>
      <t>1</t>
    </r>
    <r>
      <rPr>
        <sz val="10"/>
        <color rgb="FF222222"/>
        <rFont val="Noto Sans CJK SC"/>
        <family val="2"/>
      </rPr>
      <t>回・登壇）</t>
    </r>
  </si>
  <si>
    <t>※要価格見直し</t>
  </si>
  <si>
    <r>
      <rPr>
        <b/>
        <sz val="14"/>
        <color rgb="FF1F3A5F"/>
        <rFont val="Noto Sans CJK SC"/>
        <family val="2"/>
      </rPr>
      <t xml:space="preserve">クリエイター案件報酬一覧 ｜ </t>
    </r>
    <r>
      <rPr>
        <b/>
        <sz val="14"/>
        <color rgb="FF1F3A5F"/>
        <rFont val="Yu Gothic"/>
        <family val="3"/>
        <charset val="128"/>
      </rPr>
      <t>3</t>
    </r>
    <r>
      <rPr>
        <b/>
        <sz val="14"/>
        <color rgb="FF1F3A5F"/>
        <rFont val="Noto Sans CJK SC"/>
        <family val="2"/>
      </rPr>
      <t>ステージ制（スターター → プレイヤー → リーダー）</t>
    </r>
  </si>
  <si>
    <r>
      <rPr>
        <sz val="9"/>
        <color rgb="FF666666"/>
        <rFont val="Noto Sans CJK SC"/>
        <family val="2"/>
      </rPr>
      <t>ステージが上がるほど報酬が上がる設計。最上位のリーダーでも原価率</t>
    </r>
    <r>
      <rPr>
        <sz val="9"/>
        <color rgb="FF666666"/>
        <rFont val="Yu Gothic"/>
        <family val="3"/>
        <charset val="128"/>
      </rPr>
      <t>45%</t>
    </r>
    <r>
      <rPr>
        <sz val="9"/>
        <color rgb="FF666666"/>
        <rFont val="Noto Sans CJK SC"/>
        <family val="2"/>
      </rPr>
      <t>以内に収まる。係数</t>
    </r>
    <r>
      <rPr>
        <sz val="9"/>
        <color rgb="FF666666"/>
        <rFont val="Yu Gothic"/>
        <family val="3"/>
        <charset val="128"/>
      </rPr>
      <t xml:space="preserve">: </t>
    </r>
    <r>
      <rPr>
        <sz val="9"/>
        <color rgb="FF666666"/>
        <rFont val="Noto Sans CJK SC"/>
        <family val="2"/>
      </rPr>
      <t>リーダー</t>
    </r>
    <r>
      <rPr>
        <sz val="9"/>
        <color rgb="FF666666"/>
        <rFont val="Yu Gothic"/>
        <family val="3"/>
        <charset val="128"/>
      </rPr>
      <t xml:space="preserve">×1.00 / </t>
    </r>
    <r>
      <rPr>
        <sz val="9"/>
        <color rgb="FF666666"/>
        <rFont val="Noto Sans CJK SC"/>
        <family val="2"/>
      </rPr>
      <t>プレイヤー</t>
    </r>
    <r>
      <rPr>
        <sz val="9"/>
        <color rgb="FF666666"/>
        <rFont val="Yu Gothic"/>
        <family val="3"/>
        <charset val="128"/>
      </rPr>
      <t xml:space="preserve">×0.80 / </t>
    </r>
    <r>
      <rPr>
        <sz val="9"/>
        <color rgb="FF666666"/>
        <rFont val="Noto Sans CJK SC"/>
        <family val="2"/>
      </rPr>
      <t>スターター</t>
    </r>
    <r>
      <rPr>
        <sz val="9"/>
        <color rgb="FF666666"/>
        <rFont val="Yu Gothic"/>
        <family val="3"/>
        <charset val="128"/>
      </rPr>
      <t>×0.62</t>
    </r>
  </si>
  <si>
    <t>① ステージ定義</t>
  </si>
  <si>
    <t>ステージ</t>
  </si>
  <si>
    <t>位置づけ</t>
  </si>
  <si>
    <t>自律度・役割</t>
  </si>
  <si>
    <r>
      <rPr>
        <b/>
        <sz val="10"/>
        <color rgb="FFFFFFFF"/>
        <rFont val="Noto Sans CJK SC"/>
        <family val="2"/>
      </rPr>
      <t>報酬係数</t>
    </r>
    <r>
      <rPr>
        <b/>
        <sz val="10"/>
        <color rgb="FFFFFFFF"/>
        <rFont val="Yu Gothic"/>
        <family val="3"/>
        <charset val="128"/>
      </rPr>
      <t>(</t>
    </r>
    <r>
      <rPr>
        <b/>
        <sz val="10"/>
        <color rgb="FFFFFFFF"/>
        <rFont val="Noto Sans CJK SC"/>
        <family val="2"/>
      </rPr>
      <t>対リーダー</t>
    </r>
    <r>
      <rPr>
        <b/>
        <sz val="10"/>
        <color rgb="FFFFFFFF"/>
        <rFont val="Yu Gothic"/>
        <family val="3"/>
        <charset val="128"/>
      </rPr>
      <t>)</t>
    </r>
  </si>
  <si>
    <t>目安原価率</t>
  </si>
  <si>
    <t>スターター</t>
  </si>
  <si>
    <r>
      <rPr>
        <sz val="10"/>
        <color rgb="FF222222"/>
        <rFont val="Noto Sans CJK SC"/>
        <family val="2"/>
      </rPr>
      <t>アシスト中心・</t>
    </r>
    <r>
      <rPr>
        <sz val="10"/>
        <color rgb="FF222222"/>
        <rFont val="Yu Gothic"/>
        <family val="3"/>
        <charset val="128"/>
      </rPr>
      <t>OJT</t>
    </r>
    <r>
      <rPr>
        <sz val="10"/>
        <color rgb="FF222222"/>
        <rFont val="Noto Sans CJK SC"/>
        <family val="2"/>
      </rPr>
      <t>段階</t>
    </r>
  </si>
  <si>
    <t>指示ベースで担当パートを遂行</t>
  </si>
  <si>
    <t>×0.62</t>
  </si>
  <si>
    <r>
      <rPr>
        <sz val="10"/>
        <color rgb="FF222222"/>
        <rFont val="Noto Sans CJK SC"/>
        <family val="2"/>
      </rPr>
      <t>約</t>
    </r>
    <r>
      <rPr>
        <sz val="10"/>
        <color rgb="FF222222"/>
        <rFont val="Yu Gothic"/>
        <family val="3"/>
        <charset val="128"/>
      </rPr>
      <t>20</t>
    </r>
    <r>
      <rPr>
        <sz val="10"/>
        <color rgb="FF222222"/>
        <rFont val="Noto Sans CJK SC"/>
        <family val="2"/>
      </rPr>
      <t>〜</t>
    </r>
    <r>
      <rPr>
        <sz val="10"/>
        <color rgb="FF222222"/>
        <rFont val="Yu Gothic"/>
        <family val="3"/>
        <charset val="128"/>
      </rPr>
      <t>28%</t>
    </r>
  </si>
  <si>
    <t>プレイヤー</t>
  </si>
  <si>
    <t>一人称で完遂</t>
  </si>
  <si>
    <t>標準品質を独力で担保</t>
  </si>
  <si>
    <t>×0.80</t>
  </si>
  <si>
    <r>
      <rPr>
        <sz val="10"/>
        <color rgb="FF222222"/>
        <rFont val="Noto Sans CJK SC"/>
        <family val="2"/>
      </rPr>
      <t>約</t>
    </r>
    <r>
      <rPr>
        <sz val="10"/>
        <color rgb="FF222222"/>
        <rFont val="Yu Gothic"/>
        <family val="3"/>
        <charset val="128"/>
      </rPr>
      <t>27</t>
    </r>
    <r>
      <rPr>
        <sz val="10"/>
        <color rgb="FF222222"/>
        <rFont val="Noto Sans CJK SC"/>
        <family val="2"/>
      </rPr>
      <t>〜</t>
    </r>
    <r>
      <rPr>
        <sz val="10"/>
        <color rgb="FF222222"/>
        <rFont val="Yu Gothic"/>
        <family val="3"/>
        <charset val="128"/>
      </rPr>
      <t>36%</t>
    </r>
  </si>
  <si>
    <t>リーダー</t>
  </si>
  <si>
    <t>演出設計・品質担保・後進指導</t>
  </si>
  <si>
    <t>案件を統括し品質と単価を引き上げる</t>
  </si>
  <si>
    <t>×1.00</t>
  </si>
  <si>
    <r>
      <rPr>
        <sz val="10"/>
        <color rgb="FF222222"/>
        <rFont val="Noto Sans CJK SC"/>
        <family val="2"/>
      </rPr>
      <t>約</t>
    </r>
    <r>
      <rPr>
        <sz val="10"/>
        <color rgb="FF222222"/>
        <rFont val="Yu Gothic"/>
        <family val="3"/>
        <charset val="128"/>
      </rPr>
      <t>33</t>
    </r>
    <r>
      <rPr>
        <sz val="10"/>
        <color rgb="FF222222"/>
        <rFont val="Noto Sans CJK SC"/>
        <family val="2"/>
      </rPr>
      <t>〜</t>
    </r>
    <r>
      <rPr>
        <sz val="10"/>
        <color rgb="FF222222"/>
        <rFont val="Yu Gothic"/>
        <family val="3"/>
        <charset val="128"/>
      </rPr>
      <t>44%</t>
    </r>
    <r>
      <rPr>
        <sz val="10"/>
        <color rgb="FF222222"/>
        <rFont val="Noto Sans CJK SC"/>
        <family val="2"/>
      </rPr>
      <t>（</t>
    </r>
    <r>
      <rPr>
        <sz val="10"/>
        <color rgb="FF222222"/>
        <rFont val="Yu Gothic"/>
        <family val="3"/>
        <charset val="128"/>
      </rPr>
      <t>45%</t>
    </r>
    <r>
      <rPr>
        <sz val="10"/>
        <color rgb="FF222222"/>
        <rFont val="Noto Sans CJK SC"/>
        <family val="2"/>
      </rPr>
      <t>以内）</t>
    </r>
  </si>
  <si>
    <t>② 役割別レートカード（ステージ別・標準案件の目安）</t>
  </si>
  <si>
    <t>役割</t>
  </si>
  <si>
    <t>算定の根拠（過去実績）</t>
  </si>
  <si>
    <r>
      <rPr>
        <b/>
        <sz val="10"/>
        <color rgb="FF222222"/>
        <rFont val="Noto Sans CJK SC"/>
        <family val="2"/>
      </rPr>
      <t>ディレクション</t>
    </r>
    <r>
      <rPr>
        <b/>
        <sz val="10"/>
        <color rgb="FF222222"/>
        <rFont val="Yu Gothic"/>
        <family val="3"/>
        <charset val="128"/>
      </rPr>
      <t>/</t>
    </r>
    <r>
      <rPr>
        <b/>
        <sz val="10"/>
        <color rgb="FF222222"/>
        <rFont val="Noto Sans CJK SC"/>
        <family val="2"/>
      </rPr>
      <t>演出</t>
    </r>
  </si>
  <si>
    <t>喜納・飯田の編集ディレクション実績</t>
  </si>
  <si>
    <t>撮影（カメラマン）</t>
  </si>
  <si>
    <r>
      <rPr>
        <sz val="9"/>
        <color rgb="FF666666"/>
        <rFont val="Noto Sans CJK SC"/>
        <family val="2"/>
      </rPr>
      <t xml:space="preserve">柳本 </t>
    </r>
    <r>
      <rPr>
        <sz val="9"/>
        <color rgb="FF666666"/>
        <rFont val="Yu Gothic"/>
        <family val="3"/>
        <charset val="128"/>
      </rPr>
      <t>¥127,659</t>
    </r>
    <r>
      <rPr>
        <sz val="9"/>
        <color rgb="FF666666"/>
        <rFont val="Noto Sans CJK SC"/>
        <family val="2"/>
      </rPr>
      <t>〜</t>
    </r>
    <r>
      <rPr>
        <sz val="9"/>
        <color rgb="FF666666"/>
        <rFont val="Yu Gothic"/>
        <family val="3"/>
        <charset val="128"/>
      </rPr>
      <t>¥305,000</t>
    </r>
    <r>
      <rPr>
        <sz val="9"/>
        <color rgb="FF666666"/>
        <rFont val="Noto Sans CJK SC"/>
        <family val="2"/>
      </rPr>
      <t xml:space="preserve">、今井 </t>
    </r>
    <r>
      <rPr>
        <sz val="9"/>
        <color rgb="FF666666"/>
        <rFont val="Yu Gothic"/>
        <family val="3"/>
        <charset val="128"/>
      </rPr>
      <t>¥155,000</t>
    </r>
    <r>
      <rPr>
        <sz val="9"/>
        <color rgb="FF666666"/>
        <rFont val="Noto Sans CJK SC"/>
        <family val="2"/>
      </rPr>
      <t>〜</t>
    </r>
    <r>
      <rPr>
        <sz val="9"/>
        <color rgb="FF666666"/>
        <rFont val="Yu Gothic"/>
        <family val="3"/>
        <charset val="128"/>
      </rPr>
      <t>¥200,000</t>
    </r>
  </si>
  <si>
    <t>動画編集</t>
  </si>
  <si>
    <r>
      <rPr>
        <sz val="9"/>
        <color rgb="FF666666"/>
        <rFont val="Noto Sans CJK SC"/>
        <family val="2"/>
      </rPr>
      <t xml:space="preserve">織田 </t>
    </r>
    <r>
      <rPr>
        <sz val="9"/>
        <color rgb="FF666666"/>
        <rFont val="Yu Gothic"/>
        <family val="3"/>
        <charset val="128"/>
      </rPr>
      <t>¥130,000</t>
    </r>
    <r>
      <rPr>
        <sz val="9"/>
        <color rgb="FF666666"/>
        <rFont val="Noto Sans CJK SC"/>
        <family val="2"/>
      </rPr>
      <t xml:space="preserve">、腰原 </t>
    </r>
    <r>
      <rPr>
        <sz val="9"/>
        <color rgb="FF666666"/>
        <rFont val="Yu Gothic"/>
        <family val="3"/>
        <charset val="128"/>
      </rPr>
      <t>¥120,000</t>
    </r>
    <r>
      <rPr>
        <sz val="9"/>
        <color rgb="FF666666"/>
        <rFont val="Noto Sans CJK SC"/>
        <family val="2"/>
      </rPr>
      <t>〜</t>
    </r>
    <r>
      <rPr>
        <sz val="9"/>
        <color rgb="FF666666"/>
        <rFont val="Yu Gothic"/>
        <family val="3"/>
        <charset val="128"/>
      </rPr>
      <t>¥143,000</t>
    </r>
  </si>
  <si>
    <t>企画・絵コンテ作画</t>
  </si>
  <si>
    <t>飯田 絵コンテ実績（高単価案件向け）</t>
  </si>
  <si>
    <t>ドローン撮影</t>
  </si>
  <si>
    <r>
      <rPr>
        <sz val="9"/>
        <color rgb="FF666666"/>
        <rFont val="Yu Gothic"/>
        <family val="3"/>
        <charset val="128"/>
      </rPr>
      <t xml:space="preserve">STRAY DRONE </t>
    </r>
    <r>
      <rPr>
        <sz val="9"/>
        <color rgb="FF666666"/>
        <rFont val="Noto Sans CJK SC"/>
        <family val="2"/>
      </rPr>
      <t xml:space="preserve">上野 </t>
    </r>
    <r>
      <rPr>
        <sz val="9"/>
        <color rgb="FF666666"/>
        <rFont val="Yu Gothic"/>
        <family val="3"/>
        <charset val="128"/>
      </rPr>
      <t>¥139,916</t>
    </r>
  </si>
  <si>
    <t>ナレーション収録</t>
  </si>
  <si>
    <r>
      <rPr>
        <sz val="9"/>
        <color rgb="FF666666"/>
        <rFont val="Yu Gothic"/>
        <family val="3"/>
        <charset val="128"/>
      </rPr>
      <t>Adroaig ¥25,520</t>
    </r>
    <r>
      <rPr>
        <sz val="9"/>
        <color rgb="FF666666"/>
        <rFont val="Noto Sans CJK SC"/>
        <family val="2"/>
      </rPr>
      <t xml:space="preserve">、ジーアングル </t>
    </r>
    <r>
      <rPr>
        <sz val="9"/>
        <color rgb="FF666666"/>
        <rFont val="Yu Gothic"/>
        <family val="3"/>
        <charset val="128"/>
      </rPr>
      <t>¥177,100</t>
    </r>
  </si>
  <si>
    <t>ライブ配信オペレーション</t>
  </si>
  <si>
    <r>
      <rPr>
        <sz val="9"/>
        <color rgb="FF666666"/>
        <rFont val="Noto Sans CJK SC"/>
        <family val="2"/>
      </rPr>
      <t xml:space="preserve">貝田 </t>
    </r>
    <r>
      <rPr>
        <sz val="9"/>
        <color rgb="FF666666"/>
        <rFont val="Yu Gothic"/>
        <family val="3"/>
        <charset val="128"/>
      </rPr>
      <t>OP</t>
    </r>
    <r>
      <rPr>
        <sz val="9"/>
        <color rgb="FF666666"/>
        <rFont val="Noto Sans CJK SC"/>
        <family val="2"/>
      </rPr>
      <t xml:space="preserve">制作 </t>
    </r>
    <r>
      <rPr>
        <sz val="9"/>
        <color rgb="FF666666"/>
        <rFont val="Yu Gothic"/>
        <family val="3"/>
        <charset val="128"/>
      </rPr>
      <t>¥130,000</t>
    </r>
    <r>
      <rPr>
        <sz val="9"/>
        <color rgb="FF666666"/>
        <rFont val="Noto Sans CJK SC"/>
        <family val="2"/>
      </rPr>
      <t>、中川 配信一式</t>
    </r>
  </si>
  <si>
    <t>月額稼働（専属アサイン）</t>
  </si>
  <si>
    <r>
      <rPr>
        <sz val="9"/>
        <color rgb="FF666666"/>
        <rFont val="Noto Sans CJK SC"/>
        <family val="2"/>
      </rPr>
      <t xml:space="preserve">鈴木 </t>
    </r>
    <r>
      <rPr>
        <sz val="9"/>
        <color rgb="FF666666"/>
        <rFont val="Yu Gothic"/>
        <family val="3"/>
        <charset val="128"/>
      </rPr>
      <t>¥250,000</t>
    </r>
    <r>
      <rPr>
        <sz val="9"/>
        <color rgb="FF666666"/>
        <rFont val="Noto Sans CJK SC"/>
        <family val="2"/>
      </rPr>
      <t xml:space="preserve">、菊地 </t>
    </r>
    <r>
      <rPr>
        <sz val="9"/>
        <color rgb="FF666666"/>
        <rFont val="Yu Gothic"/>
        <family val="3"/>
        <charset val="128"/>
      </rPr>
      <t>¥308,194</t>
    </r>
    <r>
      <rPr>
        <sz val="9"/>
        <color rgb="FF666666"/>
        <rFont val="Noto Sans CJK SC"/>
        <family val="2"/>
      </rPr>
      <t>〜</t>
    </r>
    <r>
      <rPr>
        <sz val="9"/>
        <color rgb="FF666666"/>
        <rFont val="Yu Gothic"/>
        <family val="3"/>
        <charset val="128"/>
      </rPr>
      <t>¥389,055</t>
    </r>
  </si>
  <si>
    <r>
      <rPr>
        <b/>
        <sz val="11"/>
        <color rgb="FF2E7D74"/>
        <rFont val="Noto Sans CJK SC"/>
        <family val="2"/>
      </rPr>
      <t>③ 商品別 ステージ別 報酬・原価率（リーダー＝</t>
    </r>
    <r>
      <rPr>
        <b/>
        <sz val="11"/>
        <color rgb="FF2E7D74"/>
        <rFont val="Yu Gothic"/>
        <family val="3"/>
        <charset val="128"/>
      </rPr>
      <t>45%</t>
    </r>
    <r>
      <rPr>
        <b/>
        <sz val="11"/>
        <color rgb="FF2E7D74"/>
        <rFont val="Noto Sans CJK SC"/>
        <family val="2"/>
      </rPr>
      <t>以内の上限ステージ）</t>
    </r>
  </si>
  <si>
    <t>スターター報酬</t>
  </si>
  <si>
    <t>プレイヤー報酬</t>
  </si>
  <si>
    <t>リーダー報酬</t>
  </si>
  <si>
    <t>リーダー余裕</t>
  </si>
  <si>
    <t>採用動画 ライト</t>
  </si>
  <si>
    <t>採用動画 スタンダード</t>
  </si>
  <si>
    <t>採用動画 プレミアム</t>
  </si>
  <si>
    <t>会社紹介 スタンダード</t>
  </si>
  <si>
    <t>会社紹介 プレミアム</t>
  </si>
  <si>
    <t>撮って出し ライト</t>
  </si>
  <si>
    <t>撮って出し スタンダード</t>
  </si>
  <si>
    <t>撮って出し プレミアム</t>
  </si>
  <si>
    <r>
      <rPr>
        <sz val="10"/>
        <color rgb="FF222222"/>
        <rFont val="Noto Sans CJK SC"/>
        <family val="2"/>
      </rPr>
      <t>ゲーム</t>
    </r>
    <r>
      <rPr>
        <sz val="10"/>
        <color rgb="FF222222"/>
        <rFont val="Yu Gothic"/>
        <family val="3"/>
        <charset val="128"/>
      </rPr>
      <t xml:space="preserve">PV </t>
    </r>
    <r>
      <rPr>
        <sz val="10"/>
        <color rgb="FF222222"/>
        <rFont val="Noto Sans CJK SC"/>
        <family val="2"/>
      </rPr>
      <t>スタンダード</t>
    </r>
  </si>
  <si>
    <r>
      <rPr>
        <sz val="10"/>
        <color rgb="FF222222"/>
        <rFont val="Noto Sans CJK SC"/>
        <family val="2"/>
      </rPr>
      <t>ゲーム</t>
    </r>
    <r>
      <rPr>
        <sz val="10"/>
        <color rgb="FF222222"/>
        <rFont val="Yu Gothic"/>
        <family val="3"/>
        <charset val="128"/>
      </rPr>
      <t xml:space="preserve">PV </t>
    </r>
    <r>
      <rPr>
        <sz val="10"/>
        <color rgb="FF222222"/>
        <rFont val="Noto Sans CJK SC"/>
        <family val="2"/>
      </rPr>
      <t>プレミアム</t>
    </r>
  </si>
  <si>
    <t>ライブ配信 スタンダード</t>
  </si>
  <si>
    <t>ライブ配信 プレミアム</t>
  </si>
  <si>
    <t>絵コンテ・企画 単体</t>
  </si>
  <si>
    <r>
      <rPr>
        <sz val="9"/>
        <color rgb="FF666666"/>
        <rFont val="Noto Sans CJK SC"/>
        <family val="2"/>
      </rPr>
      <t>※ スターター＝リーダー</t>
    </r>
    <r>
      <rPr>
        <sz val="9"/>
        <color rgb="FF666666"/>
        <rFont val="Yu Gothic"/>
        <family val="3"/>
        <charset val="128"/>
      </rPr>
      <t>×0.62</t>
    </r>
    <r>
      <rPr>
        <sz val="9"/>
        <color rgb="FF666666"/>
        <rFont val="Noto Sans CJK SC"/>
        <family val="2"/>
      </rPr>
      <t>、プレイヤー＝</t>
    </r>
    <r>
      <rPr>
        <sz val="9"/>
        <color rgb="FF666666"/>
        <rFont val="Yu Gothic"/>
        <family val="3"/>
        <charset val="128"/>
      </rPr>
      <t>×0.80</t>
    </r>
    <r>
      <rPr>
        <sz val="9"/>
        <color rgb="FF666666"/>
        <rFont val="Noto Sans CJK SC"/>
        <family val="2"/>
      </rPr>
      <t>（千円単位で丸め）。リーダー報酬を変えると全ステージ・原価率が自動再計算。</t>
    </r>
  </si>
  <si>
    <t>有限会社北麓 価格・報酬設計メモ</t>
  </si>
  <si>
    <t>■ 設計の前提</t>
  </si>
  <si>
    <r>
      <rPr>
        <sz val="10"/>
        <color rgb="FF222222"/>
        <rFont val="Noto Sans CJK SC"/>
        <family val="2"/>
      </rPr>
      <t>・販売価格はすべて税抜。実績の案件単価分布（スイートスポット</t>
    </r>
    <r>
      <rPr>
        <sz val="10"/>
        <color rgb="FF222222"/>
        <rFont val="Yu Gothic"/>
        <family val="3"/>
        <charset val="128"/>
      </rPr>
      <t>¥40</t>
    </r>
    <r>
      <rPr>
        <sz val="10"/>
        <color rgb="FF222222"/>
        <rFont val="Noto Sans CJK SC"/>
        <family val="2"/>
      </rPr>
      <t>〜</t>
    </r>
    <r>
      <rPr>
        <sz val="10"/>
        <color rgb="FF222222"/>
        <rFont val="Yu Gothic"/>
        <family val="3"/>
        <charset val="128"/>
      </rPr>
      <t>100</t>
    </r>
    <r>
      <rPr>
        <sz val="10"/>
        <color rgb="FF222222"/>
        <rFont val="Noto Sans CJK SC"/>
        <family val="2"/>
      </rPr>
      <t>万）を基準に設定。</t>
    </r>
  </si>
  <si>
    <r>
      <rPr>
        <sz val="10"/>
        <color rgb="FF222222"/>
        <rFont val="Noto Sans CJK SC"/>
        <family val="2"/>
      </rPr>
      <t>・クリエイター原価＝業務委託</t>
    </r>
    <r>
      <rPr>
        <sz val="10"/>
        <color rgb="FF222222"/>
        <rFont val="Yu Gothic"/>
        <family val="3"/>
        <charset val="128"/>
      </rPr>
      <t>(</t>
    </r>
    <r>
      <rPr>
        <sz val="10"/>
        <color rgb="FF222222"/>
        <rFont val="Noto Sans CJK SC"/>
        <family val="2"/>
      </rPr>
      <t>個人</t>
    </r>
    <r>
      <rPr>
        <sz val="10"/>
        <color rgb="FF222222"/>
        <rFont val="Yu Gothic"/>
        <family val="3"/>
        <charset val="128"/>
      </rPr>
      <t>)</t>
    </r>
    <r>
      <rPr>
        <sz val="10"/>
        <color rgb="FF222222"/>
        <rFont val="Noto Sans CJK SC"/>
        <family val="2"/>
      </rPr>
      <t>＋外注先</t>
    </r>
    <r>
      <rPr>
        <sz val="10"/>
        <color rgb="FF222222"/>
        <rFont val="Yu Gothic"/>
        <family val="3"/>
        <charset val="128"/>
      </rPr>
      <t>(</t>
    </r>
    <r>
      <rPr>
        <sz val="10"/>
        <color rgb="FF222222"/>
        <rFont val="Noto Sans CJK SC"/>
        <family val="2"/>
      </rPr>
      <t>法人</t>
    </r>
    <r>
      <rPr>
        <sz val="10"/>
        <color rgb="FF222222"/>
        <rFont val="Yu Gothic"/>
        <family val="3"/>
        <charset val="128"/>
      </rPr>
      <t>)</t>
    </r>
    <r>
      <rPr>
        <sz val="10"/>
        <color rgb="FF222222"/>
        <rFont val="Noto Sans CJK SC"/>
        <family val="2"/>
      </rPr>
      <t>の制作実費。月額固定費・借入返済・営業</t>
    </r>
    <r>
      <rPr>
        <sz val="10"/>
        <color rgb="FF222222"/>
        <rFont val="Yu Gothic"/>
        <family val="3"/>
        <charset val="128"/>
      </rPr>
      <t>/</t>
    </r>
    <r>
      <rPr>
        <sz val="10"/>
        <color rgb="FF222222"/>
        <rFont val="Noto Sans CJK SC"/>
        <family val="2"/>
      </rPr>
      <t>紹介料は含めない（別管理）。</t>
    </r>
  </si>
  <si>
    <r>
      <rPr>
        <sz val="10"/>
        <color rgb="FF222222"/>
        <rFont val="Noto Sans CJK SC"/>
        <family val="2"/>
      </rPr>
      <t xml:space="preserve">・原価率 ＝ クリエイター原価 </t>
    </r>
    <r>
      <rPr>
        <sz val="10"/>
        <color rgb="FF222222"/>
        <rFont val="Yu Gothic"/>
        <family val="3"/>
        <charset val="128"/>
      </rPr>
      <t xml:space="preserve">÷ </t>
    </r>
    <r>
      <rPr>
        <sz val="10"/>
        <color rgb="FF222222"/>
        <rFont val="Noto Sans CJK SC"/>
        <family val="2"/>
      </rPr>
      <t>販売価格。上限</t>
    </r>
    <r>
      <rPr>
        <sz val="10"/>
        <color rgb="FF222222"/>
        <rFont val="Yu Gothic"/>
        <family val="3"/>
        <charset val="128"/>
      </rPr>
      <t>45%</t>
    </r>
    <r>
      <rPr>
        <sz val="10"/>
        <color rgb="FF222222"/>
        <rFont val="Noto Sans CJK SC"/>
        <family val="2"/>
      </rPr>
      <t>。残り</t>
    </r>
    <r>
      <rPr>
        <sz val="10"/>
        <color rgb="FF222222"/>
        <rFont val="Yu Gothic"/>
        <family val="3"/>
        <charset val="128"/>
      </rPr>
      <t>55%</t>
    </r>
    <r>
      <rPr>
        <sz val="10"/>
        <color rgb="FF222222"/>
        <rFont val="Noto Sans CJK SC"/>
        <family val="2"/>
      </rPr>
      <t>以上が北麓粗利。</t>
    </r>
  </si>
  <si>
    <r>
      <rPr>
        <b/>
        <sz val="11"/>
        <color rgb="FF2E7D74"/>
        <rFont val="Noto Sans CJK SC"/>
        <family val="2"/>
      </rPr>
      <t>■ クリエイター</t>
    </r>
    <r>
      <rPr>
        <b/>
        <sz val="11"/>
        <color rgb="FF2E7D74"/>
        <rFont val="Yu Gothic"/>
        <family val="3"/>
        <charset val="128"/>
      </rPr>
      <t>3</t>
    </r>
    <r>
      <rPr>
        <b/>
        <sz val="11"/>
        <color rgb="FF2E7D74"/>
        <rFont val="Noto Sans CJK SC"/>
        <family val="2"/>
      </rPr>
      <t>ステージ制</t>
    </r>
  </si>
  <si>
    <r>
      <rPr>
        <sz val="10"/>
        <color rgb="FF222222"/>
        <rFont val="Noto Sans CJK SC"/>
        <family val="2"/>
      </rPr>
      <t>・スターター（</t>
    </r>
    <r>
      <rPr>
        <sz val="10"/>
        <color rgb="FF222222"/>
        <rFont val="Yu Gothic"/>
        <family val="3"/>
        <charset val="128"/>
      </rPr>
      <t>×0.62</t>
    </r>
    <r>
      <rPr>
        <sz val="10"/>
        <color rgb="FF222222"/>
        <rFont val="Noto Sans CJK SC"/>
        <family val="2"/>
      </rPr>
      <t>）</t>
    </r>
    <r>
      <rPr>
        <sz val="10"/>
        <color rgb="FF222222"/>
        <rFont val="Yu Gothic"/>
        <family val="3"/>
        <charset val="128"/>
      </rPr>
      <t xml:space="preserve">: </t>
    </r>
    <r>
      <rPr>
        <sz val="10"/>
        <color rgb="FF222222"/>
        <rFont val="Noto Sans CJK SC"/>
        <family val="2"/>
      </rPr>
      <t>アシスト・</t>
    </r>
    <r>
      <rPr>
        <sz val="10"/>
        <color rgb="FF222222"/>
        <rFont val="Yu Gothic"/>
        <family val="3"/>
        <charset val="128"/>
      </rPr>
      <t>OJT</t>
    </r>
    <r>
      <rPr>
        <sz val="10"/>
        <color rgb="FF222222"/>
        <rFont val="Noto Sans CJK SC"/>
        <family val="2"/>
      </rPr>
      <t>段階。指示ベースで担当パートを遂行。目安原価率</t>
    </r>
    <r>
      <rPr>
        <sz val="10"/>
        <color rgb="FF222222"/>
        <rFont val="Yu Gothic"/>
        <family val="3"/>
        <charset val="128"/>
      </rPr>
      <t>20</t>
    </r>
    <r>
      <rPr>
        <sz val="10"/>
        <color rgb="FF222222"/>
        <rFont val="Noto Sans CJK SC"/>
        <family val="2"/>
      </rPr>
      <t>〜</t>
    </r>
    <r>
      <rPr>
        <sz val="10"/>
        <color rgb="FF222222"/>
        <rFont val="Yu Gothic"/>
        <family val="3"/>
        <charset val="128"/>
      </rPr>
      <t>28%</t>
    </r>
    <r>
      <rPr>
        <sz val="10"/>
        <color rgb="FF222222"/>
        <rFont val="Noto Sans CJK SC"/>
        <family val="2"/>
      </rPr>
      <t>。</t>
    </r>
  </si>
  <si>
    <r>
      <rPr>
        <sz val="10"/>
        <color rgb="FF222222"/>
        <rFont val="Noto Sans CJK SC"/>
        <family val="2"/>
      </rPr>
      <t>・プレイヤー（</t>
    </r>
    <r>
      <rPr>
        <sz val="10"/>
        <color rgb="FF222222"/>
        <rFont val="Yu Gothic"/>
        <family val="3"/>
        <charset val="128"/>
      </rPr>
      <t>×0.80</t>
    </r>
    <r>
      <rPr>
        <sz val="10"/>
        <color rgb="FF222222"/>
        <rFont val="Noto Sans CJK SC"/>
        <family val="2"/>
      </rPr>
      <t>）</t>
    </r>
    <r>
      <rPr>
        <sz val="10"/>
        <color rgb="FF222222"/>
        <rFont val="Yu Gothic"/>
        <family val="3"/>
        <charset val="128"/>
      </rPr>
      <t xml:space="preserve">: </t>
    </r>
    <r>
      <rPr>
        <sz val="10"/>
        <color rgb="FF222222"/>
        <rFont val="Noto Sans CJK SC"/>
        <family val="2"/>
      </rPr>
      <t>一人称で完遂。標準品質を独力で担保。目安原価率</t>
    </r>
    <r>
      <rPr>
        <sz val="10"/>
        <color rgb="FF222222"/>
        <rFont val="Yu Gothic"/>
        <family val="3"/>
        <charset val="128"/>
      </rPr>
      <t>27</t>
    </r>
    <r>
      <rPr>
        <sz val="10"/>
        <color rgb="FF222222"/>
        <rFont val="Noto Sans CJK SC"/>
        <family val="2"/>
      </rPr>
      <t>〜</t>
    </r>
    <r>
      <rPr>
        <sz val="10"/>
        <color rgb="FF222222"/>
        <rFont val="Yu Gothic"/>
        <family val="3"/>
        <charset val="128"/>
      </rPr>
      <t>36%</t>
    </r>
    <r>
      <rPr>
        <sz val="10"/>
        <color rgb="FF222222"/>
        <rFont val="Noto Sans CJK SC"/>
        <family val="2"/>
      </rPr>
      <t>。</t>
    </r>
  </si>
  <si>
    <r>
      <rPr>
        <sz val="10"/>
        <color rgb="FF222222"/>
        <rFont val="Noto Sans CJK SC"/>
        <family val="2"/>
      </rPr>
      <t>・リーダー（</t>
    </r>
    <r>
      <rPr>
        <sz val="10"/>
        <color rgb="FF222222"/>
        <rFont val="Yu Gothic"/>
        <family val="3"/>
        <charset val="128"/>
      </rPr>
      <t>×1.00</t>
    </r>
    <r>
      <rPr>
        <sz val="10"/>
        <color rgb="FF222222"/>
        <rFont val="Noto Sans CJK SC"/>
        <family val="2"/>
      </rPr>
      <t>）</t>
    </r>
    <r>
      <rPr>
        <sz val="10"/>
        <color rgb="FF222222"/>
        <rFont val="Yu Gothic"/>
        <family val="3"/>
        <charset val="128"/>
      </rPr>
      <t xml:space="preserve">: </t>
    </r>
    <r>
      <rPr>
        <sz val="10"/>
        <color rgb="FF222222"/>
        <rFont val="Noto Sans CJK SC"/>
        <family val="2"/>
      </rPr>
      <t>演出設計・品質担保・後進指導。案件を統括。目安原価率</t>
    </r>
    <r>
      <rPr>
        <sz val="10"/>
        <color rgb="FF222222"/>
        <rFont val="Yu Gothic"/>
        <family val="3"/>
        <charset val="128"/>
      </rPr>
      <t>33</t>
    </r>
    <r>
      <rPr>
        <sz val="10"/>
        <color rgb="FF222222"/>
        <rFont val="Noto Sans CJK SC"/>
        <family val="2"/>
      </rPr>
      <t>〜</t>
    </r>
    <r>
      <rPr>
        <sz val="10"/>
        <color rgb="FF222222"/>
        <rFont val="Yu Gothic"/>
        <family val="3"/>
        <charset val="128"/>
      </rPr>
      <t>44%</t>
    </r>
    <r>
      <rPr>
        <sz val="10"/>
        <color rgb="FF222222"/>
        <rFont val="Noto Sans CJK SC"/>
        <family val="2"/>
      </rPr>
      <t>（</t>
    </r>
    <r>
      <rPr>
        <sz val="10"/>
        <color rgb="FF222222"/>
        <rFont val="Yu Gothic"/>
        <family val="3"/>
        <charset val="128"/>
      </rPr>
      <t>45%</t>
    </r>
    <r>
      <rPr>
        <sz val="10"/>
        <color rgb="FF222222"/>
        <rFont val="Noto Sans CJK SC"/>
        <family val="2"/>
      </rPr>
      <t>以内）。</t>
    </r>
  </si>
  <si>
    <r>
      <rPr>
        <sz val="10"/>
        <color rgb="FF222222"/>
        <rFont val="Noto Sans CJK SC"/>
        <family val="2"/>
      </rPr>
      <t>・リーダー報酬を起点に、プレイヤー＝</t>
    </r>
    <r>
      <rPr>
        <sz val="10"/>
        <color rgb="FF222222"/>
        <rFont val="Yu Gothic"/>
        <family val="3"/>
        <charset val="128"/>
      </rPr>
      <t>×0.80</t>
    </r>
    <r>
      <rPr>
        <sz val="10"/>
        <color rgb="FF222222"/>
        <rFont val="Noto Sans CJK SC"/>
        <family val="2"/>
      </rPr>
      <t>・スターター＝</t>
    </r>
    <r>
      <rPr>
        <sz val="10"/>
        <color rgb="FF222222"/>
        <rFont val="Yu Gothic"/>
        <family val="3"/>
        <charset val="128"/>
      </rPr>
      <t>×0.62</t>
    </r>
    <r>
      <rPr>
        <sz val="10"/>
        <color rgb="FF222222"/>
        <rFont val="Noto Sans CJK SC"/>
        <family val="2"/>
      </rPr>
      <t>で自動算出（千円丸め）。リーダーでも</t>
    </r>
    <r>
      <rPr>
        <sz val="10"/>
        <color rgb="FF222222"/>
        <rFont val="Yu Gothic"/>
        <family val="3"/>
        <charset val="128"/>
      </rPr>
      <t>45%</t>
    </r>
    <r>
      <rPr>
        <sz val="10"/>
        <color rgb="FF222222"/>
        <rFont val="Noto Sans CJK SC"/>
        <family val="2"/>
      </rPr>
      <t>を超えない設計。</t>
    </r>
  </si>
  <si>
    <t>・昇格でクリエイターの取り分が上がり、北麓の原価率も段階管理できる。スターター案件は粗利が厚く、育成原資にもなる。</t>
  </si>
  <si>
    <t>■ 実績検証で分かったこと</t>
  </si>
  <si>
    <r>
      <rPr>
        <sz val="10"/>
        <color rgb="FF222222"/>
        <rFont val="Noto Sans CJK SC"/>
        <family val="2"/>
      </rPr>
      <t>・採用動画</t>
    </r>
    <r>
      <rPr>
        <sz val="10"/>
        <color rgb="FF222222"/>
        <rFont val="Yu Gothic"/>
        <family val="3"/>
        <charset val="128"/>
      </rPr>
      <t>/</t>
    </r>
    <r>
      <rPr>
        <sz val="10"/>
        <color rgb="FF222222"/>
        <rFont val="Noto Sans CJK SC"/>
        <family val="2"/>
      </rPr>
      <t>会社紹介の主力案件は実績で原価率</t>
    </r>
    <r>
      <rPr>
        <sz val="10"/>
        <color rgb="FF222222"/>
        <rFont val="Yu Gothic"/>
        <family val="3"/>
        <charset val="128"/>
      </rPr>
      <t>25</t>
    </r>
    <r>
      <rPr>
        <sz val="10"/>
        <color rgb="FF222222"/>
        <rFont val="Noto Sans CJK SC"/>
        <family val="2"/>
      </rPr>
      <t>〜</t>
    </r>
    <r>
      <rPr>
        <sz val="10"/>
        <color rgb="FF222222"/>
        <rFont val="Yu Gothic"/>
        <family val="3"/>
        <charset val="128"/>
      </rPr>
      <t>40%</t>
    </r>
    <r>
      <rPr>
        <sz val="10"/>
        <color rgb="FF222222"/>
        <rFont val="Noto Sans CJK SC"/>
        <family val="2"/>
      </rPr>
      <t>。リーダー報酬でも</t>
    </r>
    <r>
      <rPr>
        <sz val="10"/>
        <color rgb="FF222222"/>
        <rFont val="Yu Gothic"/>
        <family val="3"/>
        <charset val="128"/>
      </rPr>
      <t>45%</t>
    </r>
    <r>
      <rPr>
        <sz val="10"/>
        <color rgb="FF222222"/>
        <rFont val="Noto Sans CJK SC"/>
        <family val="2"/>
      </rPr>
      <t>以内は十分に現実的。</t>
    </r>
  </si>
  <si>
    <r>
      <rPr>
        <sz val="10"/>
        <color rgb="FFC0392B"/>
        <rFont val="Noto Sans CJK SC"/>
        <family val="2"/>
      </rPr>
      <t>・超過しやすい</t>
    </r>
    <r>
      <rPr>
        <sz val="10"/>
        <color rgb="FFC0392B"/>
        <rFont val="Yu Gothic"/>
        <family val="3"/>
        <charset val="128"/>
      </rPr>
      <t>3</t>
    </r>
    <r>
      <rPr>
        <sz val="10"/>
        <color rgb="FFC0392B"/>
        <rFont val="Noto Sans CJK SC"/>
        <family val="2"/>
      </rPr>
      <t>パターンは価格表でガード</t>
    </r>
    <r>
      <rPr>
        <sz val="10"/>
        <color rgb="FFC0392B"/>
        <rFont val="Yu Gothic"/>
        <family val="3"/>
        <charset val="128"/>
      </rPr>
      <t>: (1)</t>
    </r>
    <r>
      <rPr>
        <sz val="10"/>
        <color rgb="FFC0392B"/>
        <rFont val="Noto Sans CJK SC"/>
        <family val="2"/>
      </rPr>
      <t xml:space="preserve">絵コンテ・トレーラー単体 </t>
    </r>
    <r>
      <rPr>
        <sz val="10"/>
        <color rgb="FFC0392B"/>
        <rFont val="Yu Gothic"/>
        <family val="3"/>
        <charset val="128"/>
      </rPr>
      <t>(2)MV</t>
    </r>
    <r>
      <rPr>
        <sz val="10"/>
        <color rgb="FFC0392B"/>
        <rFont val="Noto Sans CJK SC"/>
        <family val="2"/>
      </rPr>
      <t>・</t>
    </r>
    <r>
      <rPr>
        <sz val="10"/>
        <color rgb="FFC0392B"/>
        <rFont val="Yu Gothic"/>
        <family val="3"/>
        <charset val="128"/>
      </rPr>
      <t>CG</t>
    </r>
    <r>
      <rPr>
        <sz val="10"/>
        <color rgb="FFC0392B"/>
        <rFont val="Noto Sans CJK SC"/>
        <family val="2"/>
      </rPr>
      <t>大型</t>
    </r>
    <r>
      <rPr>
        <sz val="10"/>
        <color rgb="FFC0392B"/>
        <rFont val="Yu Gothic"/>
        <family val="3"/>
        <charset val="128"/>
      </rPr>
      <t>(coly Disney 57</t>
    </r>
    <r>
      <rPr>
        <sz val="10"/>
        <color rgb="FFC0392B"/>
        <rFont val="Noto Sans CJK SC"/>
        <family val="2"/>
      </rPr>
      <t>〜</t>
    </r>
    <r>
      <rPr>
        <sz val="10"/>
        <color rgb="FFC0392B"/>
        <rFont val="Yu Gothic"/>
        <family val="3"/>
        <charset val="128"/>
      </rPr>
      <t>60%) (3)</t>
    </r>
    <r>
      <rPr>
        <sz val="10"/>
        <color rgb="FFC0392B"/>
        <rFont val="Noto Sans CJK SC"/>
        <family val="2"/>
      </rPr>
      <t>講師・登壇</t>
    </r>
    <r>
      <rPr>
        <sz val="10"/>
        <color rgb="FFC0392B"/>
        <rFont val="Yu Gothic"/>
        <family val="3"/>
        <charset val="128"/>
      </rPr>
      <t>(</t>
    </r>
    <r>
      <rPr>
        <sz val="10"/>
        <color rgb="FFC0392B"/>
        <rFont val="Noto Sans CJK SC"/>
        <family val="2"/>
      </rPr>
      <t>逆ザヤ</t>
    </r>
    <r>
      <rPr>
        <sz val="10"/>
        <color rgb="FFC0392B"/>
        <rFont val="Yu Gothic"/>
        <family val="3"/>
        <charset val="128"/>
      </rPr>
      <t>)</t>
    </r>
    <r>
      <rPr>
        <sz val="10"/>
        <color rgb="FFC0392B"/>
        <rFont val="Noto Sans CJK SC"/>
        <family val="2"/>
      </rPr>
      <t>。</t>
    </r>
  </si>
  <si>
    <t>■ 運用上の注意</t>
  </si>
  <si>
    <t>・役割別レートカードは『標準案件の目安』。実額は案件規模に応じ、商品別マトリクス（③）の数字を優先。</t>
  </si>
  <si>
    <r>
      <rPr>
        <sz val="10"/>
        <color rgb="FF222222"/>
        <rFont val="Noto Sans CJK SC"/>
        <family val="2"/>
      </rPr>
      <t>・色分け</t>
    </r>
    <r>
      <rPr>
        <sz val="10"/>
        <color rgb="FF222222"/>
        <rFont val="Yu Gothic"/>
        <family val="3"/>
        <charset val="128"/>
      </rPr>
      <t xml:space="preserve">: </t>
    </r>
    <r>
      <rPr>
        <sz val="10"/>
        <color rgb="FF222222"/>
        <rFont val="Noto Sans CJK SC"/>
        <family val="2"/>
      </rPr>
      <t>青字＝入力値（販売価格・リーダー報酬）、黒字＝自動計算、黄色背景＝</t>
    </r>
    <r>
      <rPr>
        <sz val="10"/>
        <color rgb="FF222222"/>
        <rFont val="Yu Gothic"/>
        <family val="3"/>
        <charset val="128"/>
      </rPr>
      <t>45%</t>
    </r>
    <r>
      <rPr>
        <sz val="10"/>
        <color rgb="FF222222"/>
        <rFont val="Noto Sans CJK SC"/>
        <family val="2"/>
      </rPr>
      <t>上限、薄緑＝リーダー列。</t>
    </r>
  </si>
  <si>
    <r>
      <rPr>
        <sz val="10"/>
        <color rgb="FF222222"/>
        <rFont val="Noto Sans CJK SC"/>
        <family val="2"/>
      </rPr>
      <t>・</t>
    </r>
    <r>
      <rPr>
        <sz val="10"/>
        <color rgb="FF222222"/>
        <rFont val="Yu Gothic"/>
        <family val="3"/>
        <charset val="128"/>
      </rPr>
      <t>MV/CG</t>
    </r>
    <r>
      <rPr>
        <sz val="10"/>
        <color rgb="FF222222"/>
        <rFont val="Noto Sans CJK SC"/>
        <family val="2"/>
      </rPr>
      <t>・大型は『個別見積』。受注判断時に原価率</t>
    </r>
    <r>
      <rPr>
        <sz val="10"/>
        <color rgb="FF222222"/>
        <rFont val="Yu Gothic"/>
        <family val="3"/>
        <charset val="128"/>
      </rPr>
      <t>45%</t>
    </r>
    <r>
      <rPr>
        <sz val="10"/>
        <color rgb="FF222222"/>
        <rFont val="Noto Sans CJK SC"/>
        <family val="2"/>
      </rPr>
      <t>を必ず確認する運用とする。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</si>
</sst>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;&quot;-¥&quot;#,##0;\-"/>
    <numFmt numFmtId="177" formatCode="0.0%"/>
  </numFmts>
  <fonts count="19">
    <font>
      <sz val="11"/>
      <color theme="1"/>
      <name val="Calibri"/>
      <family val="2"/>
      <charset val="1"/>
    </font>
    <font>
      <b/>
      <sz val="14"/>
      <color rgb="FF1F3A5F"/>
      <name val="Noto Sans CJK SC"/>
      <family val="2"/>
    </font>
    <font>
      <sz val="9"/>
      <color rgb="FF666666"/>
      <name val="Noto Sans CJK SC"/>
      <family val="2"/>
    </font>
    <font>
      <sz val="9"/>
      <color rgb="FF666666"/>
      <name val="Yu Gothic"/>
      <family val="3"/>
      <charset val="128"/>
    </font>
    <font>
      <b/>
      <sz val="10"/>
      <color rgb="FFFFFFFF"/>
      <name val="Noto Sans CJK SC"/>
      <family val="2"/>
    </font>
    <font>
      <b/>
      <sz val="10"/>
      <color rgb="FFFFFFFF"/>
      <name val="Yu Gothic"/>
      <family val="3"/>
      <charset val="128"/>
    </font>
    <font>
      <sz val="10"/>
      <color rgb="FF222222"/>
      <name val="Noto Sans CJK SC"/>
      <family val="2"/>
    </font>
    <font>
      <sz val="10"/>
      <color rgb="FF222222"/>
      <name val="Yu Gothic"/>
      <family val="3"/>
      <charset val="128"/>
    </font>
    <font>
      <sz val="10"/>
      <color rgb="FF0000FF"/>
      <name val="Yu Gothic"/>
      <family val="3"/>
      <charset val="128"/>
    </font>
    <font>
      <b/>
      <sz val="14"/>
      <color rgb="FF1F3A5F"/>
      <name val="Yu Gothic"/>
      <family val="3"/>
      <charset val="128"/>
    </font>
    <font>
      <b/>
      <sz val="11"/>
      <color rgb="FF2E7D74"/>
      <name val="Noto Sans CJK SC"/>
      <family val="2"/>
    </font>
    <font>
      <b/>
      <sz val="10"/>
      <color rgb="FF222222"/>
      <name val="Noto Sans CJK SC"/>
      <family val="2"/>
    </font>
    <font>
      <b/>
      <sz val="10"/>
      <color rgb="FF222222"/>
      <name val="Yu Gothic"/>
      <family val="3"/>
      <charset val="128"/>
    </font>
    <font>
      <b/>
      <sz val="10"/>
      <color rgb="FF0000FF"/>
      <name val="Yu Gothic"/>
      <family val="3"/>
      <charset val="128"/>
    </font>
    <font>
      <b/>
      <sz val="11"/>
      <color rgb="FF2E7D74"/>
      <name val="Yu Gothic"/>
      <family val="3"/>
      <charset val="128"/>
    </font>
    <font>
      <sz val="10"/>
      <color rgb="FF000000"/>
      <name val="Yu Gothic"/>
      <family val="3"/>
      <charset val="128"/>
    </font>
    <font>
      <sz val="10"/>
      <color rgb="FFC0392B"/>
      <name val="Noto Sans CJK SC"/>
      <family val="2"/>
    </font>
    <font>
      <sz val="10"/>
      <color rgb="FFC0392B"/>
      <name val="Yu Gothic"/>
      <family val="3"/>
      <charset val="128"/>
    </font>
    <font>
      <sz val="6"/>
      <name val="Tsukushi A Round Gothic Bold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FFF"/>
        <bgColor rgb="FFF4F6F8"/>
      </patternFill>
    </fill>
    <fill>
      <patternFill patternType="solid">
        <fgColor rgb="FFFFF6D9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2E7D74"/>
        <bgColor rgb="FF008080"/>
      </patternFill>
    </fill>
    <fill>
      <patternFill patternType="solid">
        <fgColor rgb="FFE4F0EE"/>
        <bgColor rgb="FFF4F6F8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176" fontId="7" fillId="3" borderId="1" xfId="0" applyNumberFormat="1" applyFont="1" applyFill="1" applyBorder="1" applyAlignment="1">
      <alignment horizontal="right" vertical="center"/>
    </xf>
    <xf numFmtId="176" fontId="7" fillId="4" borderId="1" xfId="0" applyNumberFormat="1" applyFont="1" applyFill="1" applyBorder="1" applyAlignment="1">
      <alignment horizontal="right" vertical="center"/>
    </xf>
    <xf numFmtId="176" fontId="8" fillId="3" borderId="1" xfId="0" applyNumberFormat="1" applyFont="1" applyFill="1" applyBorder="1" applyAlignment="1">
      <alignment horizontal="right" vertical="center"/>
    </xf>
    <xf numFmtId="177" fontId="7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176" fontId="7" fillId="5" borderId="1" xfId="0" applyNumberFormat="1" applyFont="1" applyFill="1" applyBorder="1" applyAlignment="1">
      <alignment horizontal="right" vertical="center"/>
    </xf>
    <xf numFmtId="176" fontId="8" fillId="5" borderId="1" xfId="0" applyNumberFormat="1" applyFont="1" applyFill="1" applyBorder="1" applyAlignment="1">
      <alignment horizontal="right" vertical="center"/>
    </xf>
    <xf numFmtId="177" fontId="7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0" fillId="0" borderId="0" xfId="0" applyFont="1"/>
    <xf numFmtId="0" fontId="4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76" fontId="13" fillId="7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77" fontId="12" fillId="7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9"/>
      <rgbColor rgb="FFE4F0EE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2E7D74"/>
      <rgbColor rgb="FF003300"/>
      <rgbColor rgb="FF333300"/>
      <rgbColor rgb="FFC0392B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/>
  <cols>
    <col min="1" max="1" width="20" customWidth="1"/>
    <col min="2" max="2" width="34" customWidth="1"/>
    <col min="3" max="3" width="13" customWidth="1"/>
    <col min="4" max="4" width="14" customWidth="1"/>
    <col min="5" max="5" width="16" customWidth="1"/>
    <col min="6" max="6" width="9" customWidth="1"/>
    <col min="7" max="7" width="13" customWidth="1"/>
    <col min="8" max="8" width="9" customWidth="1"/>
    <col min="9" max="9" width="22" customWidth="1"/>
  </cols>
  <sheetData>
    <row r="1" spans="1:9" ht="18">
      <c r="A1" s="2" t="s">
        <v>0</v>
      </c>
    </row>
    <row r="2" spans="1:9">
      <c r="A2" s="3" t="s">
        <v>1</v>
      </c>
    </row>
    <row r="4" spans="1:9" ht="30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 ht="18">
      <c r="A5" s="5" t="s">
        <v>11</v>
      </c>
      <c r="B5" s="5" t="s">
        <v>12</v>
      </c>
      <c r="C5" s="6">
        <v>480000</v>
      </c>
      <c r="D5" s="7">
        <f t="shared" ref="D5:D25" si="0">C5*0.45</f>
        <v>216000</v>
      </c>
      <c r="E5" s="8">
        <v>210000</v>
      </c>
      <c r="F5" s="9">
        <f t="shared" ref="F5:F25" si="1">IFERROR(E5/C5,0)</f>
        <v>0.4375</v>
      </c>
      <c r="G5" s="6">
        <f t="shared" ref="G5:G25" si="2">C5-E5</f>
        <v>270000</v>
      </c>
      <c r="H5" s="9">
        <f t="shared" ref="H5:H25" si="3">IFERROR(G5/C5,0)</f>
        <v>0.5625</v>
      </c>
      <c r="I5" s="10" t="s">
        <v>13</v>
      </c>
    </row>
    <row r="6" spans="1:9" ht="18">
      <c r="A6" s="11" t="s">
        <v>11</v>
      </c>
      <c r="B6" s="11" t="s">
        <v>14</v>
      </c>
      <c r="C6" s="12">
        <v>650000</v>
      </c>
      <c r="D6" s="7">
        <f t="shared" si="0"/>
        <v>292500</v>
      </c>
      <c r="E6" s="13">
        <v>280000</v>
      </c>
      <c r="F6" s="14">
        <f t="shared" si="1"/>
        <v>0.43076923076923079</v>
      </c>
      <c r="G6" s="12">
        <f t="shared" si="2"/>
        <v>370000</v>
      </c>
      <c r="H6" s="14">
        <f t="shared" si="3"/>
        <v>0.56923076923076921</v>
      </c>
      <c r="I6" s="15" t="s">
        <v>13</v>
      </c>
    </row>
    <row r="7" spans="1:9" ht="17">
      <c r="A7" s="5" t="s">
        <v>11</v>
      </c>
      <c r="B7" s="5" t="s">
        <v>15</v>
      </c>
      <c r="C7" s="6">
        <v>1200000</v>
      </c>
      <c r="D7" s="7">
        <f t="shared" si="0"/>
        <v>540000</v>
      </c>
      <c r="E7" s="8">
        <v>530000</v>
      </c>
      <c r="F7" s="9">
        <f t="shared" si="1"/>
        <v>0.44166666666666665</v>
      </c>
      <c r="G7" s="6">
        <f t="shared" si="2"/>
        <v>670000</v>
      </c>
      <c r="H7" s="9">
        <f t="shared" si="3"/>
        <v>0.55833333333333335</v>
      </c>
      <c r="I7" s="10" t="s">
        <v>13</v>
      </c>
    </row>
    <row r="8" spans="1:9" ht="18">
      <c r="A8" s="11" t="s">
        <v>16</v>
      </c>
      <c r="B8" s="11" t="s">
        <v>17</v>
      </c>
      <c r="C8" s="12">
        <v>550000</v>
      </c>
      <c r="D8" s="7">
        <f t="shared" si="0"/>
        <v>247500</v>
      </c>
      <c r="E8" s="13">
        <v>240000</v>
      </c>
      <c r="F8" s="14">
        <f t="shared" si="1"/>
        <v>0.43636363636363634</v>
      </c>
      <c r="G8" s="12">
        <f t="shared" si="2"/>
        <v>310000</v>
      </c>
      <c r="H8" s="14">
        <f t="shared" si="3"/>
        <v>0.5636363636363636</v>
      </c>
      <c r="I8" s="15" t="s">
        <v>13</v>
      </c>
    </row>
    <row r="9" spans="1:9" ht="18">
      <c r="A9" s="5" t="s">
        <v>16</v>
      </c>
      <c r="B9" s="5" t="s">
        <v>18</v>
      </c>
      <c r="C9" s="6">
        <v>850000</v>
      </c>
      <c r="D9" s="7">
        <f t="shared" si="0"/>
        <v>382500</v>
      </c>
      <c r="E9" s="8">
        <v>370000</v>
      </c>
      <c r="F9" s="9">
        <f t="shared" si="1"/>
        <v>0.43529411764705883</v>
      </c>
      <c r="G9" s="6">
        <f t="shared" si="2"/>
        <v>480000</v>
      </c>
      <c r="H9" s="9">
        <f t="shared" si="3"/>
        <v>0.56470588235294117</v>
      </c>
      <c r="I9" s="10" t="s">
        <v>13</v>
      </c>
    </row>
    <row r="10" spans="1:9" ht="28">
      <c r="A10" s="11" t="s">
        <v>19</v>
      </c>
      <c r="B10" s="11" t="s">
        <v>20</v>
      </c>
      <c r="C10" s="12">
        <v>250000</v>
      </c>
      <c r="D10" s="7">
        <f t="shared" si="0"/>
        <v>112500</v>
      </c>
      <c r="E10" s="13">
        <v>100000</v>
      </c>
      <c r="F10" s="14">
        <f t="shared" si="1"/>
        <v>0.4</v>
      </c>
      <c r="G10" s="12">
        <f t="shared" si="2"/>
        <v>150000</v>
      </c>
      <c r="H10" s="14">
        <f t="shared" si="3"/>
        <v>0.6</v>
      </c>
      <c r="I10" s="15" t="s">
        <v>13</v>
      </c>
    </row>
    <row r="11" spans="1:9" ht="28">
      <c r="A11" s="5" t="s">
        <v>19</v>
      </c>
      <c r="B11" s="5" t="s">
        <v>21</v>
      </c>
      <c r="C11" s="6">
        <v>450000</v>
      </c>
      <c r="D11" s="7">
        <f t="shared" si="0"/>
        <v>202500</v>
      </c>
      <c r="E11" s="8">
        <v>200000</v>
      </c>
      <c r="F11" s="9">
        <f t="shared" si="1"/>
        <v>0.44444444444444442</v>
      </c>
      <c r="G11" s="6">
        <f t="shared" si="2"/>
        <v>250000</v>
      </c>
      <c r="H11" s="9">
        <f t="shared" si="3"/>
        <v>0.55555555555555558</v>
      </c>
      <c r="I11" s="10" t="s">
        <v>13</v>
      </c>
    </row>
    <row r="12" spans="1:9" ht="28">
      <c r="A12" s="11" t="s">
        <v>19</v>
      </c>
      <c r="B12" s="11" t="s">
        <v>22</v>
      </c>
      <c r="C12" s="12">
        <v>1200000</v>
      </c>
      <c r="D12" s="7">
        <f t="shared" si="0"/>
        <v>540000</v>
      </c>
      <c r="E12" s="13">
        <v>500000</v>
      </c>
      <c r="F12" s="14">
        <f t="shared" si="1"/>
        <v>0.41666666666666669</v>
      </c>
      <c r="G12" s="12">
        <f t="shared" si="2"/>
        <v>700000</v>
      </c>
      <c r="H12" s="14">
        <f t="shared" si="3"/>
        <v>0.58333333333333337</v>
      </c>
      <c r="I12" s="15" t="s">
        <v>13</v>
      </c>
    </row>
    <row r="13" spans="1:9" ht="32">
      <c r="A13" s="5" t="s">
        <v>23</v>
      </c>
      <c r="B13" s="5" t="s">
        <v>24</v>
      </c>
      <c r="C13" s="6">
        <v>400000</v>
      </c>
      <c r="D13" s="7">
        <f t="shared" si="0"/>
        <v>180000</v>
      </c>
      <c r="E13" s="8">
        <v>150000</v>
      </c>
      <c r="F13" s="9">
        <f t="shared" si="1"/>
        <v>0.375</v>
      </c>
      <c r="G13" s="6">
        <f t="shared" si="2"/>
        <v>250000</v>
      </c>
      <c r="H13" s="9">
        <f t="shared" si="3"/>
        <v>0.625</v>
      </c>
      <c r="I13" s="10" t="s">
        <v>25</v>
      </c>
    </row>
    <row r="14" spans="1:9" ht="32">
      <c r="A14" s="11" t="s">
        <v>23</v>
      </c>
      <c r="B14" s="11" t="s">
        <v>26</v>
      </c>
      <c r="C14" s="12">
        <v>600000</v>
      </c>
      <c r="D14" s="7">
        <f t="shared" si="0"/>
        <v>270000</v>
      </c>
      <c r="E14" s="13">
        <v>250000</v>
      </c>
      <c r="F14" s="14">
        <f t="shared" si="1"/>
        <v>0.41666666666666669</v>
      </c>
      <c r="G14" s="12">
        <f t="shared" si="2"/>
        <v>350000</v>
      </c>
      <c r="H14" s="14">
        <f t="shared" si="3"/>
        <v>0.58333333333333337</v>
      </c>
      <c r="I14" s="15" t="s">
        <v>25</v>
      </c>
    </row>
    <row r="15" spans="1:9" ht="18">
      <c r="A15" s="5" t="s">
        <v>27</v>
      </c>
      <c r="B15" s="5" t="s">
        <v>28</v>
      </c>
      <c r="C15" s="6">
        <v>150000</v>
      </c>
      <c r="D15" s="7">
        <f t="shared" si="0"/>
        <v>67500</v>
      </c>
      <c r="E15" s="8">
        <v>50000</v>
      </c>
      <c r="F15" s="9">
        <f t="shared" si="1"/>
        <v>0.33333333333333331</v>
      </c>
      <c r="G15" s="6">
        <f t="shared" si="2"/>
        <v>100000</v>
      </c>
      <c r="H15" s="9">
        <f t="shared" si="3"/>
        <v>0.66666666666666663</v>
      </c>
      <c r="I15" s="10" t="s">
        <v>13</v>
      </c>
    </row>
    <row r="16" spans="1:9" ht="18">
      <c r="A16" s="11" t="s">
        <v>27</v>
      </c>
      <c r="B16" s="11" t="s">
        <v>29</v>
      </c>
      <c r="C16" s="12">
        <v>550000</v>
      </c>
      <c r="D16" s="7">
        <f t="shared" si="0"/>
        <v>247500</v>
      </c>
      <c r="E16" s="13">
        <v>210000</v>
      </c>
      <c r="F16" s="14">
        <f t="shared" si="1"/>
        <v>0.38181818181818183</v>
      </c>
      <c r="G16" s="12">
        <f t="shared" si="2"/>
        <v>340000</v>
      </c>
      <c r="H16" s="14">
        <f t="shared" si="3"/>
        <v>0.61818181818181817</v>
      </c>
      <c r="I16" s="15" t="s">
        <v>13</v>
      </c>
    </row>
    <row r="17" spans="1:9" ht="32">
      <c r="A17" s="16" t="s">
        <v>30</v>
      </c>
      <c r="B17" s="5" t="s">
        <v>31</v>
      </c>
      <c r="C17" s="6">
        <v>2000000</v>
      </c>
      <c r="D17" s="7">
        <f t="shared" si="0"/>
        <v>900000</v>
      </c>
      <c r="E17" s="8">
        <v>800000</v>
      </c>
      <c r="F17" s="9">
        <f t="shared" si="1"/>
        <v>0.4</v>
      </c>
      <c r="G17" s="6">
        <f t="shared" si="2"/>
        <v>1200000</v>
      </c>
      <c r="H17" s="9">
        <f t="shared" si="3"/>
        <v>0.6</v>
      </c>
      <c r="I17" s="10" t="s">
        <v>32</v>
      </c>
    </row>
    <row r="18" spans="1:9" ht="32">
      <c r="A18" s="17" t="s">
        <v>30</v>
      </c>
      <c r="B18" s="11" t="s">
        <v>33</v>
      </c>
      <c r="C18" s="12">
        <v>4000000</v>
      </c>
      <c r="D18" s="7">
        <f t="shared" si="0"/>
        <v>1800000</v>
      </c>
      <c r="E18" s="13">
        <v>1700000</v>
      </c>
      <c r="F18" s="14">
        <f t="shared" si="1"/>
        <v>0.42499999999999999</v>
      </c>
      <c r="G18" s="12">
        <f t="shared" si="2"/>
        <v>2300000</v>
      </c>
      <c r="H18" s="14">
        <f t="shared" si="3"/>
        <v>0.57499999999999996</v>
      </c>
      <c r="I18" s="15" t="s">
        <v>32</v>
      </c>
    </row>
    <row r="19" spans="1:9" ht="18">
      <c r="A19" s="16" t="s">
        <v>34</v>
      </c>
      <c r="B19" s="16" t="s">
        <v>35</v>
      </c>
      <c r="C19" s="6">
        <v>400000</v>
      </c>
      <c r="D19" s="7">
        <f t="shared" si="0"/>
        <v>180000</v>
      </c>
      <c r="E19" s="8">
        <v>150000</v>
      </c>
      <c r="F19" s="9">
        <f t="shared" si="1"/>
        <v>0.375</v>
      </c>
      <c r="G19" s="6">
        <f t="shared" si="2"/>
        <v>250000</v>
      </c>
      <c r="H19" s="9">
        <f t="shared" si="3"/>
        <v>0.625</v>
      </c>
      <c r="I19" s="10" t="s">
        <v>13</v>
      </c>
    </row>
    <row r="20" spans="1:9" ht="18">
      <c r="A20" s="17" t="s">
        <v>34</v>
      </c>
      <c r="B20" s="11" t="s">
        <v>36</v>
      </c>
      <c r="C20" s="12">
        <v>800000</v>
      </c>
      <c r="D20" s="7">
        <f t="shared" si="0"/>
        <v>360000</v>
      </c>
      <c r="E20" s="13">
        <v>300000</v>
      </c>
      <c r="F20" s="14">
        <f t="shared" si="1"/>
        <v>0.375</v>
      </c>
      <c r="G20" s="12">
        <f t="shared" si="2"/>
        <v>500000</v>
      </c>
      <c r="H20" s="14">
        <f t="shared" si="3"/>
        <v>0.625</v>
      </c>
      <c r="I20" s="15" t="s">
        <v>13</v>
      </c>
    </row>
    <row r="21" spans="1:9" ht="18">
      <c r="A21" s="16" t="s">
        <v>37</v>
      </c>
      <c r="B21" s="5" t="s">
        <v>38</v>
      </c>
      <c r="C21" s="6">
        <v>15000</v>
      </c>
      <c r="D21" s="7">
        <f t="shared" si="0"/>
        <v>6750</v>
      </c>
      <c r="E21" s="8">
        <v>6600</v>
      </c>
      <c r="F21" s="9">
        <f t="shared" si="1"/>
        <v>0.44</v>
      </c>
      <c r="G21" s="6">
        <f t="shared" si="2"/>
        <v>8400</v>
      </c>
      <c r="H21" s="9">
        <f t="shared" si="3"/>
        <v>0.56000000000000005</v>
      </c>
      <c r="I21" s="10" t="s">
        <v>39</v>
      </c>
    </row>
    <row r="22" spans="1:9" ht="18">
      <c r="A22" s="17" t="s">
        <v>37</v>
      </c>
      <c r="B22" s="11" t="s">
        <v>40</v>
      </c>
      <c r="C22" s="12">
        <v>50000</v>
      </c>
      <c r="D22" s="7">
        <f t="shared" si="0"/>
        <v>22500</v>
      </c>
      <c r="E22" s="13">
        <v>20000</v>
      </c>
      <c r="F22" s="14">
        <f t="shared" si="1"/>
        <v>0.4</v>
      </c>
      <c r="G22" s="12">
        <f t="shared" si="2"/>
        <v>30000</v>
      </c>
      <c r="H22" s="14">
        <f t="shared" si="3"/>
        <v>0.6</v>
      </c>
      <c r="I22" s="15" t="s">
        <v>39</v>
      </c>
    </row>
    <row r="23" spans="1:9" ht="18">
      <c r="A23" s="5" t="s">
        <v>41</v>
      </c>
      <c r="B23" s="5" t="s">
        <v>42</v>
      </c>
      <c r="C23" s="6">
        <v>440000</v>
      </c>
      <c r="D23" s="7">
        <f t="shared" si="0"/>
        <v>198000</v>
      </c>
      <c r="E23" s="8">
        <v>180000</v>
      </c>
      <c r="F23" s="9">
        <f t="shared" si="1"/>
        <v>0.40909090909090912</v>
      </c>
      <c r="G23" s="6">
        <f t="shared" si="2"/>
        <v>260000</v>
      </c>
      <c r="H23" s="9">
        <f t="shared" si="3"/>
        <v>0.59090909090909094</v>
      </c>
      <c r="I23" s="10" t="s">
        <v>43</v>
      </c>
    </row>
    <row r="24" spans="1:9" ht="17">
      <c r="A24" s="11" t="s">
        <v>44</v>
      </c>
      <c r="B24" s="11" t="s">
        <v>45</v>
      </c>
      <c r="C24" s="12">
        <v>100000</v>
      </c>
      <c r="D24" s="7">
        <f t="shared" si="0"/>
        <v>45000</v>
      </c>
      <c r="E24" s="13">
        <v>0</v>
      </c>
      <c r="F24" s="14">
        <f t="shared" si="1"/>
        <v>0</v>
      </c>
      <c r="G24" s="12">
        <f t="shared" si="2"/>
        <v>100000</v>
      </c>
      <c r="H24" s="14">
        <f t="shared" si="3"/>
        <v>1</v>
      </c>
      <c r="I24" s="15" t="s">
        <v>46</v>
      </c>
    </row>
    <row r="25" spans="1:9" ht="18">
      <c r="A25" s="5" t="s">
        <v>47</v>
      </c>
      <c r="B25" s="5" t="s">
        <v>48</v>
      </c>
      <c r="C25" s="6">
        <v>67000</v>
      </c>
      <c r="D25" s="7">
        <f t="shared" si="0"/>
        <v>30150</v>
      </c>
      <c r="E25" s="8">
        <v>30000</v>
      </c>
      <c r="F25" s="9">
        <f t="shared" si="1"/>
        <v>0.44776119402985076</v>
      </c>
      <c r="G25" s="6">
        <f t="shared" si="2"/>
        <v>37000</v>
      </c>
      <c r="H25" s="9">
        <f t="shared" si="3"/>
        <v>0.55223880597014929</v>
      </c>
      <c r="I25" s="10" t="s">
        <v>49</v>
      </c>
    </row>
  </sheetData>
  <phoneticPr fontId="18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showGridLines="0" tabSelected="1" zoomScaleNormal="100" workbookViewId="0">
      <selection activeCell="G7" sqref="G7"/>
    </sheetView>
  </sheetViews>
  <sheetFormatPr baseColWidth="10" defaultColWidth="8.6640625" defaultRowHeight="15"/>
  <cols>
    <col min="1" max="1" width="24" customWidth="1"/>
    <col min="2" max="2" width="23.83203125" customWidth="1"/>
    <col min="3" max="3" width="22" customWidth="1"/>
    <col min="4" max="4" width="23" customWidth="1"/>
    <col min="5" max="5" width="28.5" customWidth="1"/>
    <col min="6" max="6" width="8" customWidth="1"/>
    <col min="7" max="7" width="18.5" customWidth="1"/>
    <col min="8" max="8" width="8" customWidth="1"/>
    <col min="9" max="9" width="14" customWidth="1"/>
    <col min="10" max="10" width="12" customWidth="1"/>
  </cols>
  <sheetData>
    <row r="1" spans="1:5" ht="22">
      <c r="A1" s="2" t="s">
        <v>50</v>
      </c>
    </row>
    <row r="2" spans="1:5">
      <c r="A2" s="3" t="s">
        <v>51</v>
      </c>
    </row>
    <row r="4" spans="1:5">
      <c r="A4" s="18" t="s">
        <v>52</v>
      </c>
    </row>
    <row r="5" spans="1:5" ht="19.5" customHeight="1">
      <c r="A5" s="19" t="s">
        <v>53</v>
      </c>
      <c r="B5" s="19" t="s">
        <v>54</v>
      </c>
      <c r="C5" s="19" t="s">
        <v>55</v>
      </c>
      <c r="D5" s="19" t="s">
        <v>56</v>
      </c>
      <c r="E5" s="19" t="s">
        <v>57</v>
      </c>
    </row>
    <row r="6" spans="1:5" ht="32">
      <c r="A6" s="20" t="s">
        <v>58</v>
      </c>
      <c r="B6" s="11" t="s">
        <v>59</v>
      </c>
      <c r="C6" s="11" t="s">
        <v>60</v>
      </c>
      <c r="D6" s="21" t="s">
        <v>61</v>
      </c>
      <c r="E6" s="22" t="s">
        <v>62</v>
      </c>
    </row>
    <row r="7" spans="1:5" ht="28">
      <c r="A7" s="23" t="s">
        <v>63</v>
      </c>
      <c r="B7" s="5" t="s">
        <v>64</v>
      </c>
      <c r="C7" s="5" t="s">
        <v>65</v>
      </c>
      <c r="D7" s="24" t="s">
        <v>66</v>
      </c>
      <c r="E7" s="25" t="s">
        <v>67</v>
      </c>
    </row>
    <row r="8" spans="1:5" ht="42">
      <c r="A8" s="26" t="s">
        <v>68</v>
      </c>
      <c r="B8" s="27" t="s">
        <v>69</v>
      </c>
      <c r="C8" s="27" t="s">
        <v>70</v>
      </c>
      <c r="D8" s="28" t="s">
        <v>71</v>
      </c>
      <c r="E8" s="29" t="s">
        <v>72</v>
      </c>
    </row>
    <row r="10" spans="1:5">
      <c r="A10" s="18" t="s">
        <v>73</v>
      </c>
    </row>
    <row r="11" spans="1:5" ht="19.5" customHeight="1">
      <c r="A11" s="19" t="s">
        <v>74</v>
      </c>
      <c r="B11" s="19" t="s">
        <v>58</v>
      </c>
      <c r="C11" s="19" t="s">
        <v>63</v>
      </c>
      <c r="D11" s="19" t="s">
        <v>68</v>
      </c>
      <c r="E11" s="19" t="s">
        <v>75</v>
      </c>
    </row>
    <row r="12" spans="1:5" ht="39">
      <c r="A12" s="20" t="s">
        <v>76</v>
      </c>
      <c r="B12" s="12">
        <f t="shared" ref="B12:B19" si="0">ROUND(D12*0.62,-3)</f>
        <v>74000</v>
      </c>
      <c r="C12" s="12">
        <f t="shared" ref="C12:C19" si="1">ROUND(D12*0.8,-3)</f>
        <v>96000</v>
      </c>
      <c r="D12" s="30">
        <v>120000</v>
      </c>
      <c r="E12" s="15" t="s">
        <v>77</v>
      </c>
    </row>
    <row r="13" spans="1:5" ht="42">
      <c r="A13" s="23" t="s">
        <v>78</v>
      </c>
      <c r="B13" s="6">
        <f t="shared" si="0"/>
        <v>124000</v>
      </c>
      <c r="C13" s="6">
        <f t="shared" si="1"/>
        <v>160000</v>
      </c>
      <c r="D13" s="30">
        <v>200000</v>
      </c>
      <c r="E13" s="10" t="s">
        <v>79</v>
      </c>
    </row>
    <row r="14" spans="1:5" ht="42">
      <c r="A14" s="20" t="s">
        <v>80</v>
      </c>
      <c r="B14" s="12">
        <f t="shared" si="0"/>
        <v>93000</v>
      </c>
      <c r="C14" s="12">
        <f t="shared" si="1"/>
        <v>120000</v>
      </c>
      <c r="D14" s="30">
        <v>150000</v>
      </c>
      <c r="E14" s="15" t="s">
        <v>81</v>
      </c>
    </row>
    <row r="15" spans="1:5" ht="39">
      <c r="A15" s="23" t="s">
        <v>82</v>
      </c>
      <c r="B15" s="6">
        <f t="shared" si="0"/>
        <v>112000</v>
      </c>
      <c r="C15" s="6">
        <f t="shared" si="1"/>
        <v>144000</v>
      </c>
      <c r="D15" s="30">
        <v>180000</v>
      </c>
      <c r="E15" s="10" t="s">
        <v>83</v>
      </c>
    </row>
    <row r="16" spans="1:5" ht="28">
      <c r="A16" s="20" t="s">
        <v>84</v>
      </c>
      <c r="B16" s="12">
        <f t="shared" si="0"/>
        <v>87000</v>
      </c>
      <c r="C16" s="12">
        <f t="shared" si="1"/>
        <v>112000</v>
      </c>
      <c r="D16" s="30">
        <v>140000</v>
      </c>
      <c r="E16" s="31" t="s">
        <v>85</v>
      </c>
    </row>
    <row r="17" spans="1:10" ht="42">
      <c r="A17" s="23" t="s">
        <v>86</v>
      </c>
      <c r="B17" s="6">
        <f t="shared" si="0"/>
        <v>37000</v>
      </c>
      <c r="C17" s="6">
        <f t="shared" si="1"/>
        <v>48000</v>
      </c>
      <c r="D17" s="30">
        <v>60000</v>
      </c>
      <c r="E17" s="32" t="s">
        <v>87</v>
      </c>
    </row>
    <row r="18" spans="1:10" ht="41">
      <c r="A18" s="20" t="s">
        <v>88</v>
      </c>
      <c r="B18" s="12">
        <f t="shared" si="0"/>
        <v>81000</v>
      </c>
      <c r="C18" s="12">
        <f t="shared" si="1"/>
        <v>104000</v>
      </c>
      <c r="D18" s="30">
        <v>130000</v>
      </c>
      <c r="E18" s="15" t="s">
        <v>89</v>
      </c>
    </row>
    <row r="19" spans="1:10" ht="42">
      <c r="A19" s="23" t="s">
        <v>90</v>
      </c>
      <c r="B19" s="6">
        <f t="shared" si="0"/>
        <v>242000</v>
      </c>
      <c r="C19" s="6">
        <f t="shared" si="1"/>
        <v>312000</v>
      </c>
      <c r="D19" s="30">
        <v>390000</v>
      </c>
      <c r="E19" s="10" t="s">
        <v>91</v>
      </c>
    </row>
    <row r="21" spans="1:10" ht="18">
      <c r="A21" s="18" t="s">
        <v>92</v>
      </c>
    </row>
    <row r="22" spans="1:10" ht="30" customHeight="1">
      <c r="A22" s="4" t="s">
        <v>3</v>
      </c>
      <c r="B22" s="4" t="s">
        <v>4</v>
      </c>
      <c r="C22" s="4" t="s">
        <v>93</v>
      </c>
      <c r="D22" s="4" t="s">
        <v>7</v>
      </c>
      <c r="E22" s="4" t="s">
        <v>94</v>
      </c>
      <c r="F22" s="4" t="s">
        <v>7</v>
      </c>
      <c r="G22" s="4" t="s">
        <v>95</v>
      </c>
      <c r="H22" s="4" t="s">
        <v>7</v>
      </c>
      <c r="I22" s="4" t="s">
        <v>5</v>
      </c>
      <c r="J22" s="4" t="s">
        <v>96</v>
      </c>
    </row>
    <row r="23" spans="1:10" ht="17">
      <c r="A23" s="5" t="s">
        <v>97</v>
      </c>
      <c r="B23" s="6">
        <v>480000</v>
      </c>
      <c r="C23" s="6">
        <f t="shared" ref="C23:C35" si="2">ROUND(G23*0.62,-3)</f>
        <v>130000</v>
      </c>
      <c r="D23" s="9">
        <f t="shared" ref="D23:D35" si="3">IFERROR(C23/B23,0)</f>
        <v>0.27083333333333331</v>
      </c>
      <c r="E23" s="6">
        <f t="shared" ref="E23:E35" si="4">ROUND(G23*0.8,-3)</f>
        <v>168000</v>
      </c>
      <c r="F23" s="9">
        <f t="shared" ref="F23:F35" si="5">IFERROR(E23/B23,0)</f>
        <v>0.35</v>
      </c>
      <c r="G23" s="30">
        <v>210000</v>
      </c>
      <c r="H23" s="33">
        <f t="shared" ref="H23:H35" si="6">IFERROR(G23/B23,0)</f>
        <v>0.4375</v>
      </c>
      <c r="I23" s="7">
        <f t="shared" ref="I23:I35" si="7">B23*0.45</f>
        <v>216000</v>
      </c>
      <c r="J23" s="6">
        <f>I23-G23</f>
        <v>6000</v>
      </c>
    </row>
    <row r="24" spans="1:10" ht="17">
      <c r="A24" s="11" t="s">
        <v>98</v>
      </c>
      <c r="B24" s="12">
        <v>650000</v>
      </c>
      <c r="C24" s="12">
        <f t="shared" si="2"/>
        <v>174000</v>
      </c>
      <c r="D24" s="14">
        <f t="shared" si="3"/>
        <v>0.26769230769230767</v>
      </c>
      <c r="E24" s="12">
        <f t="shared" si="4"/>
        <v>224000</v>
      </c>
      <c r="F24" s="14">
        <f t="shared" si="5"/>
        <v>0.3446153846153846</v>
      </c>
      <c r="G24" s="30">
        <v>280000</v>
      </c>
      <c r="H24" s="33">
        <f t="shared" si="6"/>
        <v>0.43076923076923079</v>
      </c>
      <c r="I24" s="7">
        <f t="shared" si="7"/>
        <v>292500</v>
      </c>
      <c r="J24" s="12">
        <f t="shared" ref="J23:J35" si="8">I24-G24</f>
        <v>12500</v>
      </c>
    </row>
    <row r="25" spans="1:10" ht="17">
      <c r="A25" s="5" t="s">
        <v>99</v>
      </c>
      <c r="B25" s="6">
        <v>1200000</v>
      </c>
      <c r="C25" s="6">
        <f t="shared" si="2"/>
        <v>329000</v>
      </c>
      <c r="D25" s="9">
        <f t="shared" si="3"/>
        <v>0.27416666666666667</v>
      </c>
      <c r="E25" s="6">
        <f t="shared" si="4"/>
        <v>424000</v>
      </c>
      <c r="F25" s="9">
        <f t="shared" si="5"/>
        <v>0.35333333333333333</v>
      </c>
      <c r="G25" s="30">
        <v>530000</v>
      </c>
      <c r="H25" s="33">
        <f t="shared" si="6"/>
        <v>0.44166666666666665</v>
      </c>
      <c r="I25" s="7">
        <f t="shared" si="7"/>
        <v>540000</v>
      </c>
      <c r="J25" s="6">
        <f t="shared" si="8"/>
        <v>10000</v>
      </c>
    </row>
    <row r="26" spans="1:10" ht="17">
      <c r="A26" s="11" t="s">
        <v>100</v>
      </c>
      <c r="B26" s="12">
        <v>550000</v>
      </c>
      <c r="C26" s="12">
        <f t="shared" si="2"/>
        <v>149000</v>
      </c>
      <c r="D26" s="14">
        <f t="shared" si="3"/>
        <v>0.27090909090909093</v>
      </c>
      <c r="E26" s="12">
        <f t="shared" si="4"/>
        <v>192000</v>
      </c>
      <c r="F26" s="14">
        <f t="shared" si="5"/>
        <v>0.34909090909090912</v>
      </c>
      <c r="G26" s="30">
        <v>240000</v>
      </c>
      <c r="H26" s="33">
        <f t="shared" si="6"/>
        <v>0.43636363636363634</v>
      </c>
      <c r="I26" s="7">
        <f t="shared" si="7"/>
        <v>247500</v>
      </c>
      <c r="J26" s="12">
        <f t="shared" si="8"/>
        <v>7500</v>
      </c>
    </row>
    <row r="27" spans="1:10" ht="17">
      <c r="A27" s="5" t="s">
        <v>101</v>
      </c>
      <c r="B27" s="6">
        <v>850000</v>
      </c>
      <c r="C27" s="6">
        <f t="shared" si="2"/>
        <v>229000</v>
      </c>
      <c r="D27" s="9">
        <f t="shared" si="3"/>
        <v>0.26941176470588235</v>
      </c>
      <c r="E27" s="6">
        <f t="shared" si="4"/>
        <v>296000</v>
      </c>
      <c r="F27" s="9">
        <f t="shared" si="5"/>
        <v>0.34823529411764703</v>
      </c>
      <c r="G27" s="30">
        <v>370000</v>
      </c>
      <c r="H27" s="33">
        <f t="shared" si="6"/>
        <v>0.43529411764705883</v>
      </c>
      <c r="I27" s="7">
        <f t="shared" si="7"/>
        <v>382500</v>
      </c>
      <c r="J27" s="6">
        <f t="shared" si="8"/>
        <v>12500</v>
      </c>
    </row>
    <row r="28" spans="1:10" ht="17">
      <c r="A28" s="11" t="s">
        <v>102</v>
      </c>
      <c r="B28" s="12">
        <v>250000</v>
      </c>
      <c r="C28" s="12">
        <f t="shared" si="2"/>
        <v>62000</v>
      </c>
      <c r="D28" s="14">
        <f t="shared" si="3"/>
        <v>0.248</v>
      </c>
      <c r="E28" s="12">
        <f t="shared" si="4"/>
        <v>80000</v>
      </c>
      <c r="F28" s="14">
        <f t="shared" si="5"/>
        <v>0.32</v>
      </c>
      <c r="G28" s="30">
        <v>100000</v>
      </c>
      <c r="H28" s="33">
        <f t="shared" si="6"/>
        <v>0.4</v>
      </c>
      <c r="I28" s="7">
        <f t="shared" si="7"/>
        <v>112500</v>
      </c>
      <c r="J28" s="12">
        <f t="shared" si="8"/>
        <v>12500</v>
      </c>
    </row>
    <row r="29" spans="1:10" ht="17">
      <c r="A29" s="5" t="s">
        <v>103</v>
      </c>
      <c r="B29" s="6">
        <v>450000</v>
      </c>
      <c r="C29" s="6">
        <f t="shared" si="2"/>
        <v>124000</v>
      </c>
      <c r="D29" s="9">
        <f t="shared" si="3"/>
        <v>0.27555555555555555</v>
      </c>
      <c r="E29" s="6">
        <f t="shared" si="4"/>
        <v>160000</v>
      </c>
      <c r="F29" s="9">
        <f t="shared" si="5"/>
        <v>0.35555555555555557</v>
      </c>
      <c r="G29" s="30">
        <v>200000</v>
      </c>
      <c r="H29" s="33">
        <f t="shared" si="6"/>
        <v>0.44444444444444442</v>
      </c>
      <c r="I29" s="7">
        <f t="shared" si="7"/>
        <v>202500</v>
      </c>
      <c r="J29" s="6">
        <f t="shared" si="8"/>
        <v>2500</v>
      </c>
    </row>
    <row r="30" spans="1:10" ht="17">
      <c r="A30" s="11" t="s">
        <v>104</v>
      </c>
      <c r="B30" s="12">
        <v>1200000</v>
      </c>
      <c r="C30" s="12">
        <f t="shared" si="2"/>
        <v>310000</v>
      </c>
      <c r="D30" s="14">
        <f t="shared" si="3"/>
        <v>0.25833333333333336</v>
      </c>
      <c r="E30" s="12">
        <f t="shared" si="4"/>
        <v>400000</v>
      </c>
      <c r="F30" s="14">
        <f t="shared" si="5"/>
        <v>0.33333333333333331</v>
      </c>
      <c r="G30" s="30">
        <v>500000</v>
      </c>
      <c r="H30" s="33">
        <f t="shared" si="6"/>
        <v>0.41666666666666669</v>
      </c>
      <c r="I30" s="7">
        <f t="shared" si="7"/>
        <v>540000</v>
      </c>
      <c r="J30" s="12">
        <f t="shared" si="8"/>
        <v>40000</v>
      </c>
    </row>
    <row r="31" spans="1:10" ht="18">
      <c r="A31" s="5" t="s">
        <v>105</v>
      </c>
      <c r="B31" s="6">
        <v>400000</v>
      </c>
      <c r="C31" s="6">
        <f t="shared" si="2"/>
        <v>93000</v>
      </c>
      <c r="D31" s="9">
        <f t="shared" si="3"/>
        <v>0.23250000000000001</v>
      </c>
      <c r="E31" s="6">
        <f t="shared" si="4"/>
        <v>120000</v>
      </c>
      <c r="F31" s="9">
        <f t="shared" si="5"/>
        <v>0.3</v>
      </c>
      <c r="G31" s="30">
        <v>150000</v>
      </c>
      <c r="H31" s="33">
        <f t="shared" si="6"/>
        <v>0.375</v>
      </c>
      <c r="I31" s="7">
        <f t="shared" si="7"/>
        <v>180000</v>
      </c>
      <c r="J31" s="6">
        <f t="shared" si="8"/>
        <v>30000</v>
      </c>
    </row>
    <row r="32" spans="1:10" ht="18">
      <c r="A32" s="11" t="s">
        <v>106</v>
      </c>
      <c r="B32" s="12">
        <v>600000</v>
      </c>
      <c r="C32" s="12">
        <f t="shared" si="2"/>
        <v>155000</v>
      </c>
      <c r="D32" s="14">
        <f t="shared" si="3"/>
        <v>0.25833333333333336</v>
      </c>
      <c r="E32" s="12">
        <f t="shared" si="4"/>
        <v>200000</v>
      </c>
      <c r="F32" s="14">
        <f t="shared" si="5"/>
        <v>0.33333333333333331</v>
      </c>
      <c r="G32" s="30">
        <v>250000</v>
      </c>
      <c r="H32" s="33">
        <f t="shared" si="6"/>
        <v>0.41666666666666669</v>
      </c>
      <c r="I32" s="7">
        <f t="shared" si="7"/>
        <v>270000</v>
      </c>
      <c r="J32" s="12">
        <f t="shared" si="8"/>
        <v>20000</v>
      </c>
    </row>
    <row r="33" spans="1:10" ht="17">
      <c r="A33" s="5" t="s">
        <v>107</v>
      </c>
      <c r="B33" s="6">
        <v>150000</v>
      </c>
      <c r="C33" s="6">
        <f t="shared" si="2"/>
        <v>31000</v>
      </c>
      <c r="D33" s="9">
        <f t="shared" si="3"/>
        <v>0.20666666666666667</v>
      </c>
      <c r="E33" s="6">
        <f t="shared" si="4"/>
        <v>40000</v>
      </c>
      <c r="F33" s="9">
        <f t="shared" si="5"/>
        <v>0.26666666666666666</v>
      </c>
      <c r="G33" s="30">
        <v>50000</v>
      </c>
      <c r="H33" s="33">
        <f t="shared" si="6"/>
        <v>0.33333333333333331</v>
      </c>
      <c r="I33" s="7">
        <f t="shared" si="7"/>
        <v>67500</v>
      </c>
      <c r="J33" s="6">
        <f t="shared" si="8"/>
        <v>17500</v>
      </c>
    </row>
    <row r="34" spans="1:10" ht="17">
      <c r="A34" s="11" t="s">
        <v>108</v>
      </c>
      <c r="B34" s="12">
        <v>550000</v>
      </c>
      <c r="C34" s="12">
        <f t="shared" si="2"/>
        <v>130000</v>
      </c>
      <c r="D34" s="14">
        <f t="shared" si="3"/>
        <v>0.23636363636363636</v>
      </c>
      <c r="E34" s="12">
        <f t="shared" si="4"/>
        <v>168000</v>
      </c>
      <c r="F34" s="14">
        <f t="shared" si="5"/>
        <v>0.30545454545454548</v>
      </c>
      <c r="G34" s="30">
        <v>210000</v>
      </c>
      <c r="H34" s="33">
        <f t="shared" si="6"/>
        <v>0.38181818181818183</v>
      </c>
      <c r="I34" s="7">
        <f t="shared" si="7"/>
        <v>247500</v>
      </c>
      <c r="J34" s="12">
        <f t="shared" si="8"/>
        <v>37500</v>
      </c>
    </row>
    <row r="35" spans="1:10" ht="17">
      <c r="A35" s="5" t="s">
        <v>109</v>
      </c>
      <c r="B35" s="6">
        <v>440000</v>
      </c>
      <c r="C35" s="6">
        <f t="shared" si="2"/>
        <v>112000</v>
      </c>
      <c r="D35" s="9">
        <f t="shared" si="3"/>
        <v>0.25454545454545452</v>
      </c>
      <c r="E35" s="6">
        <f t="shared" si="4"/>
        <v>144000</v>
      </c>
      <c r="F35" s="9">
        <f t="shared" si="5"/>
        <v>0.32727272727272727</v>
      </c>
      <c r="G35" s="30">
        <v>180000</v>
      </c>
      <c r="H35" s="33">
        <f t="shared" si="6"/>
        <v>0.40909090909090912</v>
      </c>
      <c r="I35" s="7">
        <f t="shared" si="7"/>
        <v>198000</v>
      </c>
      <c r="J35" s="6">
        <f t="shared" si="8"/>
        <v>18000</v>
      </c>
    </row>
    <row r="36" spans="1:10">
      <c r="A36" s="1" t="s">
        <v>110</v>
      </c>
      <c r="B36" s="1"/>
      <c r="C36" s="1"/>
      <c r="D36" s="1"/>
      <c r="E36" s="1"/>
      <c r="F36" s="1"/>
      <c r="G36" s="1"/>
      <c r="H36" s="1"/>
      <c r="I36" s="1"/>
      <c r="J36" s="1"/>
    </row>
  </sheetData>
  <mergeCells count="1">
    <mergeCell ref="A36:J36"/>
  </mergeCells>
  <phoneticPr fontId="18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showGridLines="0" zoomScaleNormal="100" workbookViewId="0"/>
  </sheetViews>
  <sheetFormatPr baseColWidth="10" defaultColWidth="8.6640625" defaultRowHeight="15"/>
  <cols>
    <col min="1" max="1" width="100" customWidth="1"/>
  </cols>
  <sheetData>
    <row r="1" spans="1:1" ht="19">
      <c r="A1" s="34" t="s">
        <v>111</v>
      </c>
    </row>
    <row r="2" spans="1:1" ht="17">
      <c r="A2" s="35"/>
    </row>
    <row r="3" spans="1:1" ht="16">
      <c r="A3" s="36" t="s">
        <v>112</v>
      </c>
    </row>
    <row r="4" spans="1:1" ht="18">
      <c r="A4" s="37" t="s">
        <v>113</v>
      </c>
    </row>
    <row r="5" spans="1:1" ht="18">
      <c r="A5" s="37" t="s">
        <v>114</v>
      </c>
    </row>
    <row r="6" spans="1:1" ht="18">
      <c r="A6" s="37" t="s">
        <v>115</v>
      </c>
    </row>
    <row r="7" spans="1:1" ht="17">
      <c r="A7" s="35"/>
    </row>
    <row r="8" spans="1:1" ht="19">
      <c r="A8" s="36" t="s">
        <v>116</v>
      </c>
    </row>
    <row r="9" spans="1:1" ht="18">
      <c r="A9" s="37" t="s">
        <v>117</v>
      </c>
    </row>
    <row r="10" spans="1:1" ht="18">
      <c r="A10" s="37" t="s">
        <v>118</v>
      </c>
    </row>
    <row r="11" spans="1:1" ht="18">
      <c r="A11" s="37" t="s">
        <v>119</v>
      </c>
    </row>
    <row r="12" spans="1:1" ht="18">
      <c r="A12" s="37" t="s">
        <v>120</v>
      </c>
    </row>
    <row r="13" spans="1:1">
      <c r="A13" s="37" t="s">
        <v>121</v>
      </c>
    </row>
    <row r="14" spans="1:1" ht="17">
      <c r="A14" s="35"/>
    </row>
    <row r="15" spans="1:1" ht="16">
      <c r="A15" s="36" t="s">
        <v>122</v>
      </c>
    </row>
    <row r="16" spans="1:1" ht="18">
      <c r="A16" s="37" t="s">
        <v>123</v>
      </c>
    </row>
    <row r="17" spans="1:1" ht="36">
      <c r="A17" s="38" t="s">
        <v>124</v>
      </c>
    </row>
    <row r="18" spans="1:1" ht="17">
      <c r="A18" s="35"/>
    </row>
    <row r="19" spans="1:1" ht="16">
      <c r="A19" s="36" t="s">
        <v>125</v>
      </c>
    </row>
    <row r="20" spans="1:1">
      <c r="A20" s="37" t="s">
        <v>126</v>
      </c>
    </row>
    <row r="21" spans="1:1" ht="18">
      <c r="A21" s="37" t="s">
        <v>127</v>
      </c>
    </row>
    <row r="22" spans="1:1" ht="18">
      <c r="A22" s="37" t="s">
        <v>128</v>
      </c>
    </row>
  </sheetData>
  <phoneticPr fontId="18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価格表</vt:lpstr>
      <vt:lpstr>クリエイター報酬一覧</vt:lpstr>
      <vt:lpstr>設計メモ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裕己 齋藤</cp:lastModifiedBy>
  <cp:revision>0</cp:revision>
  <dcterms:created xsi:type="dcterms:W3CDTF">2026-06-24T01:00:53Z</dcterms:created>
  <dcterms:modified xsi:type="dcterms:W3CDTF">2026-06-24T01:34:19Z</dcterms:modified>
  <dc:language>en-US</dc:language>
</cp:coreProperties>
</file>