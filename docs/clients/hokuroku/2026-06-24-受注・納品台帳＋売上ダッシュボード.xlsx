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台帳" sheetId="1" state="visible" r:id="rId1"/>
    <sheet name="売上ダッシュボード" sheetId="2" state="visible" r:id="rId2"/>
    <sheet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0.0%"/>
    <numFmt numFmtId="166" formatCode="0&quot;本&quot;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  <font>
      <b val="1"/>
      <color rgb="00B0000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6CC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5" fillId="0" borderId="0" pivotButton="0" quotePrefix="0" xfId="0"/>
    <xf numFmtId="166" fontId="5" fillId="4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9" customWidth="1" min="4" max="4"/>
    <col width="15" customWidth="1" min="5" max="5"/>
    <col width="8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有限会社北麓 ｜ 受注・納品 案件台帳（パイプライン）</t>
        </is>
      </c>
    </row>
    <row r="2">
      <c r="A2" s="2" t="inlineStr">
        <is>
          <t>1案件＝1行。ステージで進捗を追う。金額は税抜。粗利率は既定0.56（価格表ベース／案件で調整可）。ステージ＝ リード/商談/内定/受注/制作中/納品/請求/入金/失注</t>
        </is>
      </c>
    </row>
    <row r="4">
      <c r="A4" s="3" t="inlineStr">
        <is>
          <t>案件ID</t>
        </is>
      </c>
      <c r="B4" s="3" t="inlineStr">
        <is>
          <t>顧客/代理店</t>
        </is>
      </c>
      <c r="C4" s="3" t="inlineStr">
        <is>
          <t>商品・プラン</t>
        </is>
      </c>
      <c r="D4" s="3" t="inlineStr">
        <is>
          <t>ステージ</t>
        </is>
      </c>
      <c r="E4" s="3" t="inlineStr">
        <is>
          <t>受注金額(税抜)</t>
        </is>
      </c>
      <c r="F4" s="3" t="inlineStr">
        <is>
          <t>粗利率</t>
        </is>
      </c>
      <c r="G4" s="3" t="inlineStr">
        <is>
          <t>想定粗利</t>
        </is>
      </c>
      <c r="H4" s="3" t="inlineStr">
        <is>
          <t>受注日</t>
        </is>
      </c>
      <c r="I4" s="3" t="inlineStr">
        <is>
          <t>納品予定日</t>
        </is>
      </c>
      <c r="J4" s="3" t="inlineStr">
        <is>
          <t>納品日</t>
        </is>
      </c>
      <c r="K4" s="3" t="inlineStr">
        <is>
          <t>入金日</t>
        </is>
      </c>
      <c r="L4" s="3" t="inlineStr">
        <is>
          <t>担当ステージ</t>
        </is>
      </c>
      <c r="M4" s="3" t="inlineStr">
        <is>
          <t>備考</t>
        </is>
      </c>
    </row>
    <row r="5">
      <c r="A5" s="4" t="inlineStr">
        <is>
          <t>A-001</t>
        </is>
      </c>
      <c r="B5" s="4" t="inlineStr">
        <is>
          <t>クレボ（代理店）</t>
        </is>
      </c>
      <c r="C5" s="4" t="inlineStr">
        <is>
          <t>採用動画 スタンダード</t>
        </is>
      </c>
      <c r="D5" s="4" t="inlineStr">
        <is>
          <t>受注</t>
        </is>
      </c>
      <c r="E5" s="5" t="n">
        <v>650000</v>
      </c>
      <c r="F5" s="6" t="n">
        <v>0.5600000000000001</v>
      </c>
      <c r="G5" s="5">
        <f>E5*F5</f>
        <v/>
      </c>
      <c r="H5" s="4" t="inlineStr">
        <is>
          <t>2026-06-10</t>
        </is>
      </c>
      <c r="I5" s="4" t="inlineStr">
        <is>
          <t>2026-07-15</t>
        </is>
      </c>
      <c r="J5" s="4" t="n"/>
      <c r="K5" s="4" t="n"/>
      <c r="L5" s="4" t="inlineStr">
        <is>
          <t>プレイヤー</t>
        </is>
      </c>
      <c r="M5" s="4" t="inlineStr">
        <is>
          <t>※サンプル行</t>
        </is>
      </c>
    </row>
    <row r="6">
      <c r="A6" s="4" t="inlineStr">
        <is>
          <t>A-002</t>
        </is>
      </c>
      <c r="B6" s="4" t="inlineStr">
        <is>
          <t>直販／○○製作所</t>
        </is>
      </c>
      <c r="C6" s="4" t="inlineStr">
        <is>
          <t>会社紹介 プレミアム</t>
        </is>
      </c>
      <c r="D6" s="4" t="inlineStr">
        <is>
          <t>商談</t>
        </is>
      </c>
      <c r="E6" s="5" t="n">
        <v>850000</v>
      </c>
      <c r="F6" s="6" t="n">
        <v>0.5600000000000001</v>
      </c>
      <c r="G6" s="5">
        <f>E6*F6</f>
        <v/>
      </c>
      <c r="H6" s="4" t="n"/>
      <c r="I6" s="4" t="n"/>
      <c r="J6" s="4" t="n"/>
      <c r="K6" s="4" t="n"/>
      <c r="L6" s="4" t="inlineStr">
        <is>
          <t>リーダー</t>
        </is>
      </c>
      <c r="M6" s="4" t="inlineStr">
        <is>
          <t>※サンプル行</t>
        </is>
      </c>
    </row>
    <row r="7">
      <c r="E7" s="7" t="n"/>
      <c r="F7" s="8" t="n">
        <v>0.5600000000000001</v>
      </c>
      <c r="G7" s="7">
        <f>IF(E7="","",E7*F7)</f>
        <v/>
      </c>
    </row>
    <row r="8">
      <c r="E8" s="7" t="n"/>
      <c r="F8" s="8" t="n">
        <v>0.5600000000000001</v>
      </c>
      <c r="G8" s="7">
        <f>IF(E8="","",E8*F8)</f>
        <v/>
      </c>
    </row>
    <row r="9">
      <c r="E9" s="7" t="n"/>
      <c r="F9" s="8" t="n">
        <v>0.5600000000000001</v>
      </c>
      <c r="G9" s="7">
        <f>IF(E9="","",E9*F9)</f>
        <v/>
      </c>
    </row>
    <row r="10">
      <c r="E10" s="7" t="n"/>
      <c r="F10" s="8" t="n">
        <v>0.5600000000000001</v>
      </c>
      <c r="G10" s="7">
        <f>IF(E10="","",E10*F10)</f>
        <v/>
      </c>
    </row>
    <row r="11">
      <c r="E11" s="7" t="n"/>
      <c r="F11" s="8" t="n">
        <v>0.5600000000000001</v>
      </c>
      <c r="G11" s="7">
        <f>IF(E11="","",E11*F11)</f>
        <v/>
      </c>
    </row>
    <row r="12">
      <c r="E12" s="7" t="n"/>
      <c r="F12" s="8" t="n">
        <v>0.5600000000000001</v>
      </c>
      <c r="G12" s="7">
        <f>IF(E12="","",E12*F12)</f>
        <v/>
      </c>
    </row>
    <row r="13">
      <c r="E13" s="7" t="n"/>
      <c r="F13" s="8" t="n">
        <v>0.5600000000000001</v>
      </c>
      <c r="G13" s="7">
        <f>IF(E13="","",E13*F13)</f>
        <v/>
      </c>
    </row>
    <row r="14">
      <c r="E14" s="7" t="n"/>
      <c r="F14" s="8" t="n">
        <v>0.5600000000000001</v>
      </c>
      <c r="G14" s="7">
        <f>IF(E14="","",E14*F14)</f>
        <v/>
      </c>
    </row>
    <row r="15">
      <c r="E15" s="7" t="n"/>
      <c r="F15" s="8" t="n">
        <v>0.5600000000000001</v>
      </c>
      <c r="G15" s="7">
        <f>IF(E15="","",E15*F15)</f>
        <v/>
      </c>
    </row>
    <row r="16">
      <c r="E16" s="7" t="n"/>
      <c r="F16" s="8" t="n">
        <v>0.5600000000000001</v>
      </c>
      <c r="G16" s="7">
        <f>IF(E16="","",E16*F16)</f>
        <v/>
      </c>
    </row>
    <row r="17">
      <c r="E17" s="7" t="n"/>
      <c r="F17" s="8" t="n">
        <v>0.5600000000000001</v>
      </c>
      <c r="G17" s="7">
        <f>IF(E17="","",E17*F17)</f>
        <v/>
      </c>
    </row>
    <row r="18">
      <c r="E18" s="7" t="n"/>
      <c r="F18" s="8" t="n">
        <v>0.5600000000000001</v>
      </c>
      <c r="G18" s="7">
        <f>IF(E18="","",E18*F18)</f>
        <v/>
      </c>
    </row>
    <row r="19">
      <c r="E19" s="7" t="n"/>
      <c r="F19" s="8" t="n">
        <v>0.5600000000000001</v>
      </c>
      <c r="G19" s="7">
        <f>IF(E19="","",E19*F19)</f>
        <v/>
      </c>
    </row>
    <row r="20">
      <c r="E20" s="7" t="n"/>
      <c r="F20" s="8" t="n">
        <v>0.5600000000000001</v>
      </c>
      <c r="G20" s="7">
        <f>IF(E20="","",E20*F20)</f>
        <v/>
      </c>
    </row>
    <row r="21">
      <c r="E21" s="7" t="n"/>
      <c r="F21" s="8" t="n">
        <v>0.5600000000000001</v>
      </c>
      <c r="G21" s="7">
        <f>IF(E21="","",E21*F21)</f>
        <v/>
      </c>
    </row>
    <row r="22">
      <c r="E22" s="7" t="n"/>
      <c r="F22" s="8" t="n">
        <v>0.5600000000000001</v>
      </c>
      <c r="G22" s="7">
        <f>IF(E22="","",E22*F22)</f>
        <v/>
      </c>
    </row>
    <row r="23">
      <c r="E23" s="7" t="n"/>
      <c r="F23" s="8" t="n">
        <v>0.5600000000000001</v>
      </c>
      <c r="G23" s="7">
        <f>IF(E23="","",E23*F23)</f>
        <v/>
      </c>
    </row>
    <row r="24">
      <c r="E24" s="7" t="n"/>
      <c r="F24" s="8" t="n">
        <v>0.5600000000000001</v>
      </c>
      <c r="G24" s="7">
        <f>IF(E24="","",E24*F24)</f>
        <v/>
      </c>
    </row>
    <row r="25">
      <c r="E25" s="7" t="n"/>
      <c r="F25" s="8" t="n">
        <v>0.5600000000000001</v>
      </c>
      <c r="G25" s="7">
        <f>IF(E25="","",E25*F25)</f>
        <v/>
      </c>
    </row>
    <row r="26">
      <c r="E26" s="7" t="n"/>
      <c r="F26" s="8" t="n">
        <v>0.5600000000000001</v>
      </c>
      <c r="G26" s="7">
        <f>IF(E26="","",E26*F26)</f>
        <v/>
      </c>
    </row>
    <row r="27">
      <c r="E27" s="7" t="n"/>
      <c r="F27" s="8" t="n">
        <v>0.5600000000000001</v>
      </c>
      <c r="G27" s="7">
        <f>IF(E27="","",E27*F27)</f>
        <v/>
      </c>
    </row>
    <row r="28">
      <c r="E28" s="7" t="n"/>
      <c r="F28" s="8" t="n">
        <v>0.5600000000000001</v>
      </c>
      <c r="G28" s="7">
        <f>IF(E28="","",E28*F28)</f>
        <v/>
      </c>
    </row>
    <row r="29">
      <c r="E29" s="7" t="n"/>
      <c r="F29" s="8" t="n">
        <v>0.5600000000000001</v>
      </c>
      <c r="G29" s="7">
        <f>IF(E29="","",E29*F29)</f>
        <v/>
      </c>
    </row>
    <row r="30">
      <c r="E30" s="7" t="n"/>
      <c r="F30" s="8" t="n">
        <v>0.5600000000000001</v>
      </c>
      <c r="G30" s="7">
        <f>IF(E30="","",E30*F30)</f>
        <v/>
      </c>
    </row>
    <row r="31">
      <c r="E31" s="7" t="n"/>
      <c r="F31" s="8" t="n">
        <v>0.5600000000000001</v>
      </c>
      <c r="G31" s="7">
        <f>IF(E31="","",E31*F31)</f>
        <v/>
      </c>
    </row>
    <row r="32">
      <c r="E32" s="7" t="n"/>
      <c r="F32" s="8" t="n">
        <v>0.5600000000000001</v>
      </c>
      <c r="G32" s="7">
        <f>IF(E32="","",E32*F32)</f>
        <v/>
      </c>
    </row>
    <row r="33">
      <c r="E33" s="7" t="n"/>
      <c r="F33" s="8" t="n">
        <v>0.5600000000000001</v>
      </c>
      <c r="G33" s="7">
        <f>IF(E33="","",E33*F33)</f>
        <v/>
      </c>
    </row>
    <row r="34">
      <c r="E34" s="7" t="n"/>
      <c r="F34" s="8" t="n">
        <v>0.5600000000000001</v>
      </c>
      <c r="G34" s="7">
        <f>IF(E34="","",E34*F34)</f>
        <v/>
      </c>
    </row>
    <row r="35">
      <c r="E35" s="7" t="n"/>
      <c r="F35" s="8" t="n">
        <v>0.5600000000000001</v>
      </c>
      <c r="G35" s="7">
        <f>IF(E35="","",E35*F35)</f>
        <v/>
      </c>
    </row>
    <row r="36">
      <c r="E36" s="7" t="n"/>
      <c r="F36" s="8" t="n">
        <v>0.5600000000000001</v>
      </c>
      <c r="G36" s="7">
        <f>IF(E36="","",E36*F36)</f>
        <v/>
      </c>
    </row>
    <row r="37">
      <c r="E37" s="7" t="n"/>
      <c r="F37" s="8" t="n">
        <v>0.5600000000000001</v>
      </c>
      <c r="G37" s="7">
        <f>IF(E37="","",E37*F37)</f>
        <v/>
      </c>
    </row>
    <row r="38">
      <c r="E38" s="7" t="n"/>
      <c r="F38" s="8" t="n">
        <v>0.5600000000000001</v>
      </c>
      <c r="G38" s="7">
        <f>IF(E38="","",E38*F38)</f>
        <v/>
      </c>
    </row>
    <row r="39">
      <c r="E39" s="7" t="n"/>
      <c r="F39" s="8" t="n">
        <v>0.5600000000000001</v>
      </c>
      <c r="G39" s="7">
        <f>IF(E39="","",E39*F39)</f>
        <v/>
      </c>
    </row>
    <row r="40">
      <c r="E40" s="7" t="n"/>
      <c r="F40" s="8" t="n">
        <v>0.5600000000000001</v>
      </c>
      <c r="G40" s="7">
        <f>IF(E40="","",E40*F40)</f>
        <v/>
      </c>
    </row>
    <row r="41">
      <c r="E41" s="7" t="n"/>
      <c r="F41" s="8" t="n">
        <v>0.5600000000000001</v>
      </c>
      <c r="G41" s="7">
        <f>IF(E41="","",E41*F41)</f>
        <v/>
      </c>
    </row>
    <row r="42">
      <c r="E42" s="7" t="n"/>
      <c r="F42" s="8" t="n">
        <v>0.5600000000000001</v>
      </c>
      <c r="G42" s="7">
        <f>IF(E42="","",E42*F42)</f>
        <v/>
      </c>
    </row>
    <row r="43">
      <c r="E43" s="7" t="n"/>
      <c r="F43" s="8" t="n">
        <v>0.5600000000000001</v>
      </c>
      <c r="G43" s="7">
        <f>IF(E43="","",E43*F43)</f>
        <v/>
      </c>
    </row>
    <row r="44">
      <c r="E44" s="7" t="n"/>
      <c r="F44" s="8" t="n">
        <v>0.5600000000000001</v>
      </c>
      <c r="G44" s="7">
        <f>IF(E44="","",E44*F44)</f>
        <v/>
      </c>
    </row>
    <row r="45">
      <c r="E45" s="7" t="n"/>
      <c r="F45" s="8" t="n">
        <v>0.5600000000000001</v>
      </c>
      <c r="G45" s="7">
        <f>IF(E45="","",E45*F45)</f>
        <v/>
      </c>
    </row>
    <row r="46">
      <c r="E46" s="7" t="n"/>
      <c r="F46" s="8" t="n">
        <v>0.5600000000000001</v>
      </c>
      <c r="G46" s="7">
        <f>IF(E46="","",E46*F46)</f>
        <v/>
      </c>
    </row>
    <row r="47">
      <c r="E47" s="7" t="n"/>
      <c r="F47" s="8" t="n">
        <v>0.5600000000000001</v>
      </c>
      <c r="G47" s="7">
        <f>IF(E47="","",E47*F47)</f>
        <v/>
      </c>
    </row>
    <row r="48">
      <c r="E48" s="7" t="n"/>
      <c r="F48" s="8" t="n">
        <v>0.5600000000000001</v>
      </c>
      <c r="G48" s="7">
        <f>IF(E48="","",E48*F48)</f>
        <v/>
      </c>
    </row>
    <row r="49">
      <c r="E49" s="7" t="n"/>
      <c r="F49" s="8" t="n">
        <v>0.5600000000000001</v>
      </c>
      <c r="G49" s="7">
        <f>IF(E49="","",E49*F49)</f>
        <v/>
      </c>
    </row>
    <row r="50">
      <c r="E50" s="7" t="n"/>
      <c r="F50" s="8" t="n">
        <v>0.5600000000000001</v>
      </c>
      <c r="G50" s="7">
        <f>IF(E50="","",E50*F50)</f>
        <v/>
      </c>
    </row>
    <row r="51">
      <c r="E51" s="7" t="n"/>
      <c r="F51" s="8" t="n">
        <v>0.5600000000000001</v>
      </c>
      <c r="G51" s="7">
        <f>IF(E51="","",E51*F51)</f>
        <v/>
      </c>
    </row>
    <row r="52">
      <c r="E52" s="7" t="n"/>
      <c r="F52" s="8" t="n">
        <v>0.5600000000000001</v>
      </c>
      <c r="G52" s="7">
        <f>IF(E52="","",E52*F52)</f>
        <v/>
      </c>
    </row>
    <row r="53">
      <c r="E53" s="7" t="n"/>
      <c r="F53" s="8" t="n">
        <v>0.5600000000000001</v>
      </c>
      <c r="G53" s="7">
        <f>IF(E53="","",E53*F53)</f>
        <v/>
      </c>
    </row>
    <row r="54">
      <c r="E54" s="7" t="n"/>
      <c r="F54" s="8" t="n">
        <v>0.5600000000000001</v>
      </c>
      <c r="G54" s="7">
        <f>IF(E54="","",E54*F54)</f>
        <v/>
      </c>
    </row>
    <row r="55">
      <c r="E55" s="7" t="n"/>
      <c r="F55" s="8" t="n">
        <v>0.5600000000000001</v>
      </c>
      <c r="G55" s="7">
        <f>IF(E55="","",E55*F55)</f>
        <v/>
      </c>
    </row>
    <row r="56">
      <c r="E56" s="7" t="n"/>
      <c r="F56" s="8" t="n">
        <v>0.5600000000000001</v>
      </c>
      <c r="G56" s="7">
        <f>IF(E56="","",E56*F56)</f>
        <v/>
      </c>
    </row>
    <row r="57">
      <c r="E57" s="7" t="n"/>
      <c r="F57" s="8" t="n">
        <v>0.5600000000000001</v>
      </c>
      <c r="G57" s="7">
        <f>IF(E57="","",E57*F57)</f>
        <v/>
      </c>
    </row>
    <row r="58">
      <c r="E58" s="7" t="n"/>
      <c r="F58" s="8" t="n">
        <v>0.5600000000000001</v>
      </c>
      <c r="G58" s="7">
        <f>IF(E58="","",E58*F58)</f>
        <v/>
      </c>
    </row>
    <row r="59">
      <c r="E59" s="7" t="n"/>
      <c r="F59" s="8" t="n">
        <v>0.5600000000000001</v>
      </c>
      <c r="G59" s="7">
        <f>IF(E59="","",E59*F59)</f>
        <v/>
      </c>
    </row>
    <row r="60">
      <c r="E60" s="7" t="n"/>
      <c r="F60" s="8" t="n">
        <v>0.5600000000000001</v>
      </c>
      <c r="G60" s="7">
        <f>IF(E60="","",E60*F60)</f>
        <v/>
      </c>
    </row>
    <row r="61">
      <c r="E61" s="7" t="n"/>
      <c r="F61" s="8" t="n">
        <v>0.5600000000000001</v>
      </c>
      <c r="G61" s="7">
        <f>IF(E61="","",E61*F61)</f>
        <v/>
      </c>
    </row>
    <row r="62">
      <c r="E62" s="7" t="n"/>
      <c r="F62" s="8" t="n">
        <v>0.5600000000000001</v>
      </c>
      <c r="G62" s="7">
        <f>IF(E62="","",E62*F62)</f>
        <v/>
      </c>
    </row>
    <row r="63">
      <c r="E63" s="7" t="n"/>
      <c r="F63" s="8" t="n">
        <v>0.5600000000000001</v>
      </c>
      <c r="G63" s="7">
        <f>IF(E63="","",E63*F63)</f>
        <v/>
      </c>
    </row>
    <row r="64">
      <c r="E64" s="7" t="n"/>
      <c r="F64" s="8" t="n">
        <v>0.5600000000000001</v>
      </c>
      <c r="G64" s="7">
        <f>IF(E64="","",E64*F64)</f>
        <v/>
      </c>
    </row>
    <row r="65">
      <c r="E65" s="7" t="n"/>
      <c r="F65" s="8" t="n">
        <v>0.5600000000000001</v>
      </c>
      <c r="G65" s="7">
        <f>IF(E65="","",E65*F65)</f>
        <v/>
      </c>
    </row>
    <row r="66">
      <c r="E66" s="7" t="n"/>
      <c r="F66" s="8" t="n">
        <v>0.5600000000000001</v>
      </c>
      <c r="G66" s="7">
        <f>IF(E66="","",E66*F66)</f>
        <v/>
      </c>
    </row>
    <row r="67">
      <c r="E67" s="7" t="n"/>
      <c r="F67" s="8" t="n">
        <v>0.5600000000000001</v>
      </c>
      <c r="G67" s="7">
        <f>IF(E67="","",E67*F67)</f>
        <v/>
      </c>
    </row>
    <row r="68">
      <c r="E68" s="7" t="n"/>
      <c r="F68" s="8" t="n">
        <v>0.5600000000000001</v>
      </c>
      <c r="G68" s="7">
        <f>IF(E68="","",E68*F68)</f>
        <v/>
      </c>
    </row>
    <row r="69">
      <c r="E69" s="7" t="n"/>
      <c r="F69" s="8" t="n">
        <v>0.5600000000000001</v>
      </c>
      <c r="G69" s="7">
        <f>IF(E69="","",E69*F69)</f>
        <v/>
      </c>
    </row>
    <row r="70">
      <c r="E70" s="7" t="n"/>
      <c r="F70" s="8" t="n">
        <v>0.5600000000000001</v>
      </c>
      <c r="G70" s="7">
        <f>IF(E70="","",E70*F70)</f>
        <v/>
      </c>
    </row>
    <row r="71">
      <c r="E71" s="7" t="n"/>
      <c r="F71" s="8" t="n">
        <v>0.5600000000000001</v>
      </c>
      <c r="G71" s="7">
        <f>IF(E71="","",E71*F71)</f>
        <v/>
      </c>
    </row>
    <row r="72">
      <c r="E72" s="7" t="n"/>
      <c r="F72" s="8" t="n">
        <v>0.5600000000000001</v>
      </c>
      <c r="G72" s="7">
        <f>IF(E72="","",E72*F72)</f>
        <v/>
      </c>
    </row>
    <row r="73">
      <c r="E73" s="7" t="n"/>
      <c r="F73" s="8" t="n">
        <v>0.5600000000000001</v>
      </c>
      <c r="G73" s="7">
        <f>IF(E73="","",E73*F73)</f>
        <v/>
      </c>
    </row>
    <row r="74">
      <c r="E74" s="7" t="n"/>
      <c r="F74" s="8" t="n">
        <v>0.5600000000000001</v>
      </c>
      <c r="G74" s="7">
        <f>IF(E74="","",E74*F74)</f>
        <v/>
      </c>
    </row>
    <row r="75">
      <c r="E75" s="7" t="n"/>
      <c r="F75" s="8" t="n">
        <v>0.5600000000000001</v>
      </c>
      <c r="G75" s="7">
        <f>IF(E75="","",E75*F75)</f>
        <v/>
      </c>
    </row>
    <row r="76">
      <c r="E76" s="7" t="n"/>
      <c r="F76" s="8" t="n">
        <v>0.5600000000000001</v>
      </c>
      <c r="G76" s="7">
        <f>IF(E76="","",E76*F76)</f>
        <v/>
      </c>
    </row>
    <row r="77">
      <c r="E77" s="7" t="n"/>
      <c r="F77" s="8" t="n">
        <v>0.5600000000000001</v>
      </c>
      <c r="G77" s="7">
        <f>IF(E77="","",E77*F77)</f>
        <v/>
      </c>
    </row>
    <row r="78">
      <c r="E78" s="7" t="n"/>
      <c r="F78" s="8" t="n">
        <v>0.5600000000000001</v>
      </c>
      <c r="G78" s="7">
        <f>IF(E78="","",E78*F78)</f>
        <v/>
      </c>
    </row>
    <row r="79">
      <c r="E79" s="7" t="n"/>
      <c r="F79" s="8" t="n">
        <v>0.5600000000000001</v>
      </c>
      <c r="G79" s="7">
        <f>IF(E79="","",E79*F79)</f>
        <v/>
      </c>
    </row>
    <row r="80">
      <c r="E80" s="7" t="n"/>
      <c r="F80" s="8" t="n">
        <v>0.5600000000000001</v>
      </c>
      <c r="G80" s="7">
        <f>IF(E80="","",E80*F80)</f>
        <v/>
      </c>
    </row>
    <row r="81">
      <c r="E81" s="7" t="n"/>
      <c r="F81" s="8" t="n">
        <v>0.5600000000000001</v>
      </c>
      <c r="G81" s="7">
        <f>IF(E81="","",E81*F81)</f>
        <v/>
      </c>
    </row>
    <row r="82">
      <c r="E82" s="7" t="n"/>
      <c r="F82" s="8" t="n">
        <v>0.5600000000000001</v>
      </c>
      <c r="G82" s="7">
        <f>IF(E82="","",E82*F82)</f>
        <v/>
      </c>
    </row>
    <row r="83">
      <c r="E83" s="7" t="n"/>
      <c r="F83" s="8" t="n">
        <v>0.5600000000000001</v>
      </c>
      <c r="G83" s="7">
        <f>IF(E83="","",E83*F83)</f>
        <v/>
      </c>
    </row>
    <row r="84">
      <c r="E84" s="7" t="n"/>
      <c r="F84" s="8" t="n">
        <v>0.5600000000000001</v>
      </c>
      <c r="G84" s="7">
        <f>IF(E84="","",E84*F84)</f>
        <v/>
      </c>
    </row>
    <row r="85">
      <c r="E85" s="7" t="n"/>
      <c r="F85" s="8" t="n">
        <v>0.5600000000000001</v>
      </c>
      <c r="G85" s="7">
        <f>IF(E85="","",E85*F85)</f>
        <v/>
      </c>
    </row>
    <row r="86">
      <c r="E86" s="7" t="n"/>
      <c r="F86" s="8" t="n">
        <v>0.5600000000000001</v>
      </c>
      <c r="G86" s="7">
        <f>IF(E86="","",E86*F86)</f>
        <v/>
      </c>
    </row>
    <row r="87">
      <c r="E87" s="7" t="n"/>
      <c r="F87" s="8" t="n">
        <v>0.5600000000000001</v>
      </c>
      <c r="G87" s="7">
        <f>IF(E87="","",E87*F87)</f>
        <v/>
      </c>
    </row>
    <row r="88">
      <c r="E88" s="7" t="n"/>
      <c r="F88" s="8" t="n">
        <v>0.5600000000000001</v>
      </c>
      <c r="G88" s="7">
        <f>IF(E88="","",E88*F88)</f>
        <v/>
      </c>
    </row>
    <row r="89">
      <c r="E89" s="7" t="n"/>
      <c r="F89" s="8" t="n">
        <v>0.5600000000000001</v>
      </c>
      <c r="G89" s="7">
        <f>IF(E89="","",E89*F89)</f>
        <v/>
      </c>
    </row>
    <row r="90">
      <c r="E90" s="7" t="n"/>
      <c r="F90" s="8" t="n">
        <v>0.5600000000000001</v>
      </c>
      <c r="G90" s="7">
        <f>IF(E90="","",E90*F90)</f>
        <v/>
      </c>
    </row>
    <row r="91">
      <c r="E91" s="7" t="n"/>
      <c r="F91" s="8" t="n">
        <v>0.5600000000000001</v>
      </c>
      <c r="G91" s="7">
        <f>IF(E91="","",E91*F91)</f>
        <v/>
      </c>
    </row>
    <row r="92">
      <c r="E92" s="7" t="n"/>
      <c r="F92" s="8" t="n">
        <v>0.5600000000000001</v>
      </c>
      <c r="G92" s="7">
        <f>IF(E92="","",E92*F92)</f>
        <v/>
      </c>
    </row>
    <row r="93">
      <c r="E93" s="7" t="n"/>
      <c r="F93" s="8" t="n">
        <v>0.5600000000000001</v>
      </c>
      <c r="G93" s="7">
        <f>IF(E93="","",E93*F93)</f>
        <v/>
      </c>
    </row>
    <row r="94">
      <c r="E94" s="7" t="n"/>
      <c r="F94" s="8" t="n">
        <v>0.5600000000000001</v>
      </c>
      <c r="G94" s="7">
        <f>IF(E94="","",E94*F94)</f>
        <v/>
      </c>
    </row>
    <row r="95">
      <c r="E95" s="7" t="n"/>
      <c r="F95" s="8" t="n">
        <v>0.5600000000000001</v>
      </c>
      <c r="G95" s="7">
        <f>IF(E95="","",E95*F95)</f>
        <v/>
      </c>
    </row>
    <row r="96">
      <c r="E96" s="7" t="n"/>
      <c r="F96" s="8" t="n">
        <v>0.5600000000000001</v>
      </c>
      <c r="G96" s="7">
        <f>IF(E96="","",E96*F96)</f>
        <v/>
      </c>
    </row>
    <row r="97">
      <c r="E97" s="7" t="n"/>
      <c r="F97" s="8" t="n">
        <v>0.5600000000000001</v>
      </c>
      <c r="G97" s="7">
        <f>IF(E97="","",E97*F97)</f>
        <v/>
      </c>
    </row>
    <row r="98">
      <c r="E98" s="7" t="n"/>
      <c r="F98" s="8" t="n">
        <v>0.5600000000000001</v>
      </c>
      <c r="G98" s="7">
        <f>IF(E98="","",E98*F98)</f>
        <v/>
      </c>
    </row>
    <row r="99">
      <c r="E99" s="7" t="n"/>
      <c r="F99" s="8" t="n">
        <v>0.5600000000000001</v>
      </c>
      <c r="G99" s="7">
        <f>IF(E99="","",E99*F99)</f>
        <v/>
      </c>
    </row>
    <row r="100">
      <c r="E100" s="7" t="n"/>
      <c r="F100" s="8" t="n">
        <v>0.5600000000000001</v>
      </c>
      <c r="G100" s="7">
        <f>IF(E100="","",E100*F100)</f>
        <v/>
      </c>
    </row>
    <row r="101">
      <c r="E101" s="7" t="n"/>
      <c r="F101" s="8" t="n">
        <v>0.5600000000000001</v>
      </c>
      <c r="G101" s="7">
        <f>IF(E101="","",E101*F101)</f>
        <v/>
      </c>
    </row>
    <row r="102">
      <c r="E102" s="7" t="n"/>
      <c r="F102" s="8" t="n">
        <v>0.5600000000000001</v>
      </c>
      <c r="G102" s="7">
        <f>IF(E102="","",E102*F102)</f>
        <v/>
      </c>
    </row>
    <row r="103">
      <c r="E103" s="7" t="n"/>
      <c r="F103" s="8" t="n">
        <v>0.5600000000000001</v>
      </c>
      <c r="G103" s="7">
        <f>IF(E103="","",E103*F103)</f>
        <v/>
      </c>
    </row>
    <row r="104">
      <c r="E104" s="7" t="n"/>
      <c r="F104" s="8" t="n">
        <v>0.5600000000000001</v>
      </c>
      <c r="G104" s="7">
        <f>IF(E104="","",E104*F104)</f>
        <v/>
      </c>
    </row>
    <row r="105">
      <c r="E105" s="7" t="n"/>
      <c r="F105" s="8" t="n">
        <v>0.5600000000000001</v>
      </c>
      <c r="G105" s="7">
        <f>IF(E105="","",E105*F105)</f>
        <v/>
      </c>
    </row>
    <row r="106">
      <c r="E106" s="7" t="n"/>
      <c r="F106" s="8" t="n">
        <v>0.5600000000000001</v>
      </c>
      <c r="G106" s="7">
        <f>IF(E106="","",E106*F106)</f>
        <v/>
      </c>
    </row>
    <row r="107">
      <c r="E107" s="7" t="n"/>
      <c r="F107" s="8" t="n">
        <v>0.5600000000000001</v>
      </c>
      <c r="G107" s="7">
        <f>IF(E107="","",E107*F107)</f>
        <v/>
      </c>
    </row>
    <row r="108">
      <c r="E108" s="7" t="n"/>
      <c r="F108" s="8" t="n">
        <v>0.5600000000000001</v>
      </c>
      <c r="G108" s="7">
        <f>IF(E108="","",E108*F108)</f>
        <v/>
      </c>
    </row>
    <row r="109">
      <c r="E109" s="7" t="n"/>
      <c r="F109" s="8" t="n">
        <v>0.5600000000000001</v>
      </c>
      <c r="G109" s="7">
        <f>IF(E109="","",E109*F109)</f>
        <v/>
      </c>
    </row>
    <row r="110">
      <c r="E110" s="7" t="n"/>
      <c r="F110" s="8" t="n">
        <v>0.5600000000000001</v>
      </c>
      <c r="G110" s="7">
        <f>IF(E110="","",E110*F110)</f>
        <v/>
      </c>
    </row>
    <row r="111">
      <c r="E111" s="7" t="n"/>
      <c r="F111" s="8" t="n">
        <v>0.5600000000000001</v>
      </c>
      <c r="G111" s="7">
        <f>IF(E111="","",E111*F111)</f>
        <v/>
      </c>
    </row>
    <row r="112">
      <c r="E112" s="7" t="n"/>
      <c r="F112" s="8" t="n">
        <v>0.5600000000000001</v>
      </c>
      <c r="G112" s="7">
        <f>IF(E112="","",E112*F112)</f>
        <v/>
      </c>
    </row>
    <row r="113">
      <c r="E113" s="7" t="n"/>
      <c r="F113" s="8" t="n">
        <v>0.5600000000000001</v>
      </c>
      <c r="G113" s="7">
        <f>IF(E113="","",E113*F113)</f>
        <v/>
      </c>
    </row>
    <row r="114">
      <c r="E114" s="7" t="n"/>
      <c r="F114" s="8" t="n">
        <v>0.5600000000000001</v>
      </c>
      <c r="G114" s="7">
        <f>IF(E114="","",E114*F114)</f>
        <v/>
      </c>
    </row>
    <row r="115">
      <c r="E115" s="7" t="n"/>
      <c r="F115" s="8" t="n">
        <v>0.5600000000000001</v>
      </c>
      <c r="G115" s="7">
        <f>IF(E115="","",E115*F115)</f>
        <v/>
      </c>
    </row>
    <row r="116">
      <c r="E116" s="7" t="n"/>
      <c r="F116" s="8" t="n">
        <v>0.5600000000000001</v>
      </c>
      <c r="G116" s="7">
        <f>IF(E116="","",E116*F116)</f>
        <v/>
      </c>
    </row>
    <row r="117">
      <c r="E117" s="7" t="n"/>
      <c r="F117" s="8" t="n">
        <v>0.5600000000000001</v>
      </c>
      <c r="G117" s="7">
        <f>IF(E117="","",E117*F117)</f>
        <v/>
      </c>
    </row>
    <row r="118">
      <c r="E118" s="7" t="n"/>
      <c r="F118" s="8" t="n">
        <v>0.5600000000000001</v>
      </c>
      <c r="G118" s="7">
        <f>IF(E118="","",E118*F118)</f>
        <v/>
      </c>
    </row>
    <row r="119">
      <c r="E119" s="7" t="n"/>
      <c r="F119" s="8" t="n">
        <v>0.5600000000000001</v>
      </c>
      <c r="G119" s="7">
        <f>IF(E119="","",E119*F119)</f>
        <v/>
      </c>
    </row>
    <row r="120">
      <c r="E120" s="7" t="n"/>
      <c r="F120" s="8" t="n">
        <v>0.5600000000000001</v>
      </c>
      <c r="G120" s="7">
        <f>IF(E120="","",E120*F120)</f>
        <v/>
      </c>
    </row>
    <row r="121">
      <c r="E121" s="7" t="n"/>
      <c r="F121" s="8" t="n">
        <v>0.5600000000000001</v>
      </c>
      <c r="G121" s="7">
        <f>IF(E121="","",E121*F121)</f>
        <v/>
      </c>
    </row>
    <row r="122">
      <c r="E122" s="7" t="n"/>
      <c r="F122" s="8" t="n">
        <v>0.5600000000000001</v>
      </c>
      <c r="G122" s="7">
        <f>IF(E122="","",E122*F122)</f>
        <v/>
      </c>
    </row>
    <row r="123">
      <c r="E123" s="7" t="n"/>
      <c r="F123" s="8" t="n">
        <v>0.5600000000000001</v>
      </c>
      <c r="G123" s="7">
        <f>IF(E123="","",E123*F123)</f>
        <v/>
      </c>
    </row>
    <row r="124">
      <c r="E124" s="7" t="n"/>
      <c r="F124" s="8" t="n">
        <v>0.5600000000000001</v>
      </c>
      <c r="G124" s="7">
        <f>IF(E124="","",E124*F124)</f>
        <v/>
      </c>
    </row>
    <row r="125">
      <c r="E125" s="7" t="n"/>
      <c r="F125" s="8" t="n">
        <v>0.5600000000000001</v>
      </c>
      <c r="G125" s="7">
        <f>IF(E125="","",E125*F125)</f>
        <v/>
      </c>
    </row>
    <row r="126">
      <c r="E126" s="7" t="n"/>
      <c r="F126" s="8" t="n">
        <v>0.5600000000000001</v>
      </c>
      <c r="G126" s="7">
        <f>IF(E126="","",E126*F126)</f>
        <v/>
      </c>
    </row>
    <row r="127">
      <c r="E127" s="7" t="n"/>
      <c r="F127" s="8" t="n">
        <v>0.5600000000000001</v>
      </c>
      <c r="G127" s="7">
        <f>IF(E127="","",E127*F127)</f>
        <v/>
      </c>
    </row>
    <row r="128">
      <c r="E128" s="7" t="n"/>
      <c r="F128" s="8" t="n">
        <v>0.5600000000000001</v>
      </c>
      <c r="G128" s="7">
        <f>IF(E128="","",E128*F128)</f>
        <v/>
      </c>
    </row>
    <row r="129">
      <c r="E129" s="7" t="n"/>
      <c r="F129" s="8" t="n">
        <v>0.5600000000000001</v>
      </c>
      <c r="G129" s="7">
        <f>IF(E129="","",E129*F129)</f>
        <v/>
      </c>
    </row>
    <row r="130">
      <c r="E130" s="7" t="n"/>
      <c r="F130" s="8" t="n">
        <v>0.5600000000000001</v>
      </c>
      <c r="G130" s="7">
        <f>IF(E130="","",E130*F130)</f>
        <v/>
      </c>
    </row>
    <row r="131">
      <c r="E131" s="7" t="n"/>
      <c r="F131" s="8" t="n">
        <v>0.5600000000000001</v>
      </c>
      <c r="G131" s="7">
        <f>IF(E131="","",E131*F131)</f>
        <v/>
      </c>
    </row>
    <row r="132">
      <c r="E132" s="7" t="n"/>
      <c r="F132" s="8" t="n">
        <v>0.5600000000000001</v>
      </c>
      <c r="G132" s="7">
        <f>IF(E132="","",E132*F132)</f>
        <v/>
      </c>
    </row>
    <row r="133">
      <c r="E133" s="7" t="n"/>
      <c r="F133" s="8" t="n">
        <v>0.5600000000000001</v>
      </c>
      <c r="G133" s="7">
        <f>IF(E133="","",E133*F133)</f>
        <v/>
      </c>
    </row>
    <row r="134">
      <c r="E134" s="7" t="n"/>
      <c r="F134" s="8" t="n">
        <v>0.5600000000000001</v>
      </c>
      <c r="G134" s="7">
        <f>IF(E134="","",E134*F134)</f>
        <v/>
      </c>
    </row>
    <row r="135">
      <c r="E135" s="7" t="n"/>
      <c r="F135" s="8" t="n">
        <v>0.5600000000000001</v>
      </c>
      <c r="G135" s="7">
        <f>IF(E135="","",E135*F135)</f>
        <v/>
      </c>
    </row>
    <row r="136">
      <c r="E136" s="7" t="n"/>
      <c r="F136" s="8" t="n">
        <v>0.5600000000000001</v>
      </c>
      <c r="G136" s="7">
        <f>IF(E136="","",E136*F136)</f>
        <v/>
      </c>
    </row>
    <row r="137">
      <c r="E137" s="7" t="n"/>
      <c r="F137" s="8" t="n">
        <v>0.5600000000000001</v>
      </c>
      <c r="G137" s="7">
        <f>IF(E137="","",E137*F137)</f>
        <v/>
      </c>
    </row>
    <row r="138">
      <c r="E138" s="7" t="n"/>
      <c r="F138" s="8" t="n">
        <v>0.5600000000000001</v>
      </c>
      <c r="G138" s="7">
        <f>IF(E138="","",E138*F138)</f>
        <v/>
      </c>
    </row>
    <row r="139">
      <c r="E139" s="7" t="n"/>
      <c r="F139" s="8" t="n">
        <v>0.5600000000000001</v>
      </c>
      <c r="G139" s="7">
        <f>IF(E139="","",E139*F139)</f>
        <v/>
      </c>
    </row>
    <row r="140">
      <c r="E140" s="7" t="n"/>
      <c r="F140" s="8" t="n">
        <v>0.5600000000000001</v>
      </c>
      <c r="G140" s="7">
        <f>IF(E140="","",E140*F140)</f>
        <v/>
      </c>
    </row>
    <row r="141">
      <c r="E141" s="7" t="n"/>
      <c r="F141" s="8" t="n">
        <v>0.5600000000000001</v>
      </c>
      <c r="G141" s="7">
        <f>IF(E141="","",E141*F141)</f>
        <v/>
      </c>
    </row>
    <row r="142">
      <c r="E142" s="7" t="n"/>
      <c r="F142" s="8" t="n">
        <v>0.5600000000000001</v>
      </c>
      <c r="G142" s="7">
        <f>IF(E142="","",E142*F142)</f>
        <v/>
      </c>
    </row>
    <row r="143">
      <c r="E143" s="7" t="n"/>
      <c r="F143" s="8" t="n">
        <v>0.5600000000000001</v>
      </c>
      <c r="G143" s="7">
        <f>IF(E143="","",E143*F143)</f>
        <v/>
      </c>
    </row>
    <row r="144">
      <c r="E144" s="7" t="n"/>
      <c r="F144" s="8" t="n">
        <v>0.5600000000000001</v>
      </c>
      <c r="G144" s="7">
        <f>IF(E144="","",E144*F144)</f>
        <v/>
      </c>
    </row>
    <row r="145">
      <c r="E145" s="7" t="n"/>
      <c r="F145" s="8" t="n">
        <v>0.5600000000000001</v>
      </c>
      <c r="G145" s="7">
        <f>IF(E145="","",E145*F145)</f>
        <v/>
      </c>
    </row>
    <row r="146">
      <c r="E146" s="7" t="n"/>
      <c r="F146" s="8" t="n">
        <v>0.5600000000000001</v>
      </c>
      <c r="G146" s="7">
        <f>IF(E146="","",E146*F146)</f>
        <v/>
      </c>
    </row>
    <row r="147">
      <c r="E147" s="7" t="n"/>
      <c r="F147" s="8" t="n">
        <v>0.5600000000000001</v>
      </c>
      <c r="G147" s="7">
        <f>IF(E147="","",E147*F147)</f>
        <v/>
      </c>
    </row>
    <row r="148">
      <c r="E148" s="7" t="n"/>
      <c r="F148" s="8" t="n">
        <v>0.5600000000000001</v>
      </c>
      <c r="G148" s="7">
        <f>IF(E148="","",E148*F148)</f>
        <v/>
      </c>
    </row>
    <row r="149">
      <c r="E149" s="7" t="n"/>
      <c r="F149" s="8" t="n">
        <v>0.5600000000000001</v>
      </c>
      <c r="G149" s="7">
        <f>IF(E149="","",E149*F149)</f>
        <v/>
      </c>
    </row>
    <row r="150">
      <c r="E150" s="7" t="n"/>
      <c r="F150" s="8" t="n">
        <v>0.5600000000000001</v>
      </c>
      <c r="G150" s="7">
        <f>IF(E150="","",E150*F150)</f>
        <v/>
      </c>
    </row>
    <row r="151">
      <c r="E151" s="7" t="n"/>
      <c r="F151" s="8" t="n">
        <v>0.5600000000000001</v>
      </c>
      <c r="G151" s="7">
        <f>IF(E151="","",E151*F151)</f>
        <v/>
      </c>
    </row>
    <row r="152">
      <c r="E152" s="7" t="n"/>
      <c r="F152" s="8" t="n">
        <v>0.5600000000000001</v>
      </c>
      <c r="G152" s="7">
        <f>IF(E152="","",E152*F152)</f>
        <v/>
      </c>
    </row>
    <row r="153">
      <c r="E153" s="7" t="n"/>
      <c r="F153" s="8" t="n">
        <v>0.5600000000000001</v>
      </c>
      <c r="G153" s="7">
        <f>IF(E153="","",E153*F153)</f>
        <v/>
      </c>
    </row>
    <row r="154">
      <c r="E154" s="7" t="n"/>
      <c r="F154" s="8" t="n">
        <v>0.5600000000000001</v>
      </c>
      <c r="G154" s="7">
        <f>IF(E154="","",E154*F154)</f>
        <v/>
      </c>
    </row>
    <row r="155">
      <c r="E155" s="7" t="n"/>
      <c r="F155" s="8" t="n">
        <v>0.5600000000000001</v>
      </c>
      <c r="G155" s="7">
        <f>IF(E155="","",E155*F155)</f>
        <v/>
      </c>
    </row>
    <row r="156">
      <c r="E156" s="7" t="n"/>
      <c r="F156" s="8" t="n">
        <v>0.5600000000000001</v>
      </c>
      <c r="G156" s="7">
        <f>IF(E156="","",E156*F156)</f>
        <v/>
      </c>
    </row>
    <row r="157">
      <c r="E157" s="7" t="n"/>
      <c r="F157" s="8" t="n">
        <v>0.5600000000000001</v>
      </c>
      <c r="G157" s="7">
        <f>IF(E157="","",E157*F157)</f>
        <v/>
      </c>
    </row>
    <row r="158">
      <c r="E158" s="7" t="n"/>
      <c r="F158" s="8" t="n">
        <v>0.5600000000000001</v>
      </c>
      <c r="G158" s="7">
        <f>IF(E158="","",E158*F158)</f>
        <v/>
      </c>
    </row>
    <row r="159">
      <c r="E159" s="7" t="n"/>
      <c r="F159" s="8" t="n">
        <v>0.5600000000000001</v>
      </c>
      <c r="G159" s="7">
        <f>IF(E159="","",E159*F159)</f>
        <v/>
      </c>
    </row>
    <row r="160">
      <c r="E160" s="7" t="n"/>
      <c r="F160" s="8" t="n">
        <v>0.5600000000000001</v>
      </c>
      <c r="G160" s="7">
        <f>IF(E160="","",E160*F160)</f>
        <v/>
      </c>
    </row>
    <row r="161">
      <c r="E161" s="7" t="n"/>
      <c r="F161" s="8" t="n">
        <v>0.5600000000000001</v>
      </c>
      <c r="G161" s="7">
        <f>IF(E161="","",E161*F161)</f>
        <v/>
      </c>
    </row>
    <row r="162">
      <c r="E162" s="7" t="n"/>
      <c r="F162" s="8" t="n">
        <v>0.5600000000000001</v>
      </c>
      <c r="G162" s="7">
        <f>IF(E162="","",E162*F162)</f>
        <v/>
      </c>
    </row>
    <row r="163">
      <c r="E163" s="7" t="n"/>
      <c r="F163" s="8" t="n">
        <v>0.5600000000000001</v>
      </c>
      <c r="G163" s="7">
        <f>IF(E163="","",E163*F163)</f>
        <v/>
      </c>
    </row>
    <row r="164">
      <c r="E164" s="7" t="n"/>
      <c r="F164" s="8" t="n">
        <v>0.5600000000000001</v>
      </c>
      <c r="G164" s="7">
        <f>IF(E164="","",E164*F164)</f>
        <v/>
      </c>
    </row>
    <row r="165">
      <c r="E165" s="7" t="n"/>
      <c r="F165" s="8" t="n">
        <v>0.5600000000000001</v>
      </c>
      <c r="G165" s="7">
        <f>IF(E165="","",E165*F165)</f>
        <v/>
      </c>
    </row>
    <row r="166">
      <c r="E166" s="7" t="n"/>
      <c r="F166" s="8" t="n">
        <v>0.5600000000000001</v>
      </c>
      <c r="G166" s="7">
        <f>IF(E166="","",E166*F166)</f>
        <v/>
      </c>
    </row>
    <row r="167">
      <c r="E167" s="7" t="n"/>
      <c r="F167" s="8" t="n">
        <v>0.5600000000000001</v>
      </c>
      <c r="G167" s="7">
        <f>IF(E167="","",E167*F167)</f>
        <v/>
      </c>
    </row>
    <row r="168">
      <c r="E168" s="7" t="n"/>
      <c r="F168" s="8" t="n">
        <v>0.5600000000000001</v>
      </c>
      <c r="G168" s="7">
        <f>IF(E168="","",E168*F168)</f>
        <v/>
      </c>
    </row>
    <row r="169">
      <c r="E169" s="7" t="n"/>
      <c r="F169" s="8" t="n">
        <v>0.5600000000000001</v>
      </c>
      <c r="G169" s="7">
        <f>IF(E169="","",E169*F169)</f>
        <v/>
      </c>
    </row>
    <row r="170">
      <c r="E170" s="7" t="n"/>
      <c r="F170" s="8" t="n">
        <v>0.5600000000000001</v>
      </c>
      <c r="G170" s="7">
        <f>IF(E170="","",E170*F170)</f>
        <v/>
      </c>
    </row>
    <row r="171">
      <c r="E171" s="7" t="n"/>
      <c r="F171" s="8" t="n">
        <v>0.5600000000000001</v>
      </c>
      <c r="G171" s="7">
        <f>IF(E171="","",E171*F171)</f>
        <v/>
      </c>
    </row>
    <row r="172">
      <c r="E172" s="7" t="n"/>
      <c r="F172" s="8" t="n">
        <v>0.5600000000000001</v>
      </c>
      <c r="G172" s="7">
        <f>IF(E172="","",E172*F172)</f>
        <v/>
      </c>
    </row>
    <row r="173">
      <c r="E173" s="7" t="n"/>
      <c r="F173" s="8" t="n">
        <v>0.5600000000000001</v>
      </c>
      <c r="G173" s="7">
        <f>IF(E173="","",E173*F173)</f>
        <v/>
      </c>
    </row>
    <row r="174">
      <c r="E174" s="7" t="n"/>
      <c r="F174" s="8" t="n">
        <v>0.5600000000000001</v>
      </c>
      <c r="G174" s="7">
        <f>IF(E174="","",E174*F174)</f>
        <v/>
      </c>
    </row>
    <row r="175">
      <c r="E175" s="7" t="n"/>
      <c r="F175" s="8" t="n">
        <v>0.5600000000000001</v>
      </c>
      <c r="G175" s="7">
        <f>IF(E175="","",E175*F175)</f>
        <v/>
      </c>
    </row>
    <row r="176">
      <c r="E176" s="7" t="n"/>
      <c r="F176" s="8" t="n">
        <v>0.5600000000000001</v>
      </c>
      <c r="G176" s="7">
        <f>IF(E176="","",E176*F176)</f>
        <v/>
      </c>
    </row>
    <row r="177">
      <c r="E177" s="7" t="n"/>
      <c r="F177" s="8" t="n">
        <v>0.5600000000000001</v>
      </c>
      <c r="G177" s="7">
        <f>IF(E177="","",E177*F177)</f>
        <v/>
      </c>
    </row>
    <row r="178">
      <c r="E178" s="7" t="n"/>
      <c r="F178" s="8" t="n">
        <v>0.5600000000000001</v>
      </c>
      <c r="G178" s="7">
        <f>IF(E178="","",E178*F178)</f>
        <v/>
      </c>
    </row>
    <row r="179">
      <c r="E179" s="7" t="n"/>
      <c r="F179" s="8" t="n">
        <v>0.5600000000000001</v>
      </c>
      <c r="G179" s="7">
        <f>IF(E179="","",E179*F179)</f>
        <v/>
      </c>
    </row>
    <row r="180">
      <c r="E180" s="7" t="n"/>
      <c r="F180" s="8" t="n">
        <v>0.5600000000000001</v>
      </c>
      <c r="G180" s="7">
        <f>IF(E180="","",E180*F180)</f>
        <v/>
      </c>
    </row>
    <row r="181">
      <c r="E181" s="7" t="n"/>
      <c r="F181" s="8" t="n">
        <v>0.5600000000000001</v>
      </c>
      <c r="G181" s="7">
        <f>IF(E181="","",E181*F181)</f>
        <v/>
      </c>
    </row>
    <row r="182">
      <c r="E182" s="7" t="n"/>
      <c r="F182" s="8" t="n">
        <v>0.5600000000000001</v>
      </c>
      <c r="G182" s="7">
        <f>IF(E182="","",E182*F182)</f>
        <v/>
      </c>
    </row>
    <row r="183">
      <c r="E183" s="7" t="n"/>
      <c r="F183" s="8" t="n">
        <v>0.5600000000000001</v>
      </c>
      <c r="G183" s="7">
        <f>IF(E183="","",E183*F183)</f>
        <v/>
      </c>
    </row>
    <row r="184">
      <c r="E184" s="7" t="n"/>
      <c r="F184" s="8" t="n">
        <v>0.5600000000000001</v>
      </c>
      <c r="G184" s="7">
        <f>IF(E184="","",E184*F184)</f>
        <v/>
      </c>
    </row>
    <row r="185">
      <c r="E185" s="7" t="n"/>
      <c r="F185" s="8" t="n">
        <v>0.5600000000000001</v>
      </c>
      <c r="G185" s="7">
        <f>IF(E185="","",E185*F185)</f>
        <v/>
      </c>
    </row>
    <row r="186">
      <c r="E186" s="7" t="n"/>
      <c r="F186" s="8" t="n">
        <v>0.5600000000000001</v>
      </c>
      <c r="G186" s="7">
        <f>IF(E186="","",E186*F186)</f>
        <v/>
      </c>
    </row>
    <row r="187">
      <c r="E187" s="7" t="n"/>
      <c r="F187" s="8" t="n">
        <v>0.5600000000000001</v>
      </c>
      <c r="G187" s="7">
        <f>IF(E187="","",E187*F187)</f>
        <v/>
      </c>
    </row>
    <row r="188">
      <c r="E188" s="7" t="n"/>
      <c r="F188" s="8" t="n">
        <v>0.5600000000000001</v>
      </c>
      <c r="G188" s="7">
        <f>IF(E188="","",E188*F188)</f>
        <v/>
      </c>
    </row>
    <row r="189">
      <c r="E189" s="7" t="n"/>
      <c r="F189" s="8" t="n">
        <v>0.5600000000000001</v>
      </c>
      <c r="G189" s="7">
        <f>IF(E189="","",E189*F189)</f>
        <v/>
      </c>
    </row>
    <row r="190">
      <c r="E190" s="7" t="n"/>
      <c r="F190" s="8" t="n">
        <v>0.5600000000000001</v>
      </c>
      <c r="G190" s="7">
        <f>IF(E190="","",E190*F190)</f>
        <v/>
      </c>
    </row>
    <row r="191">
      <c r="E191" s="7" t="n"/>
      <c r="F191" s="8" t="n">
        <v>0.5600000000000001</v>
      </c>
      <c r="G191" s="7">
        <f>IF(E191="","",E191*F191)</f>
        <v/>
      </c>
    </row>
    <row r="192">
      <c r="E192" s="7" t="n"/>
      <c r="F192" s="8" t="n">
        <v>0.5600000000000001</v>
      </c>
      <c r="G192" s="7">
        <f>IF(E192="","",E192*F192)</f>
        <v/>
      </c>
    </row>
    <row r="193">
      <c r="E193" s="7" t="n"/>
      <c r="F193" s="8" t="n">
        <v>0.5600000000000001</v>
      </c>
      <c r="G193" s="7">
        <f>IF(E193="","",E193*F193)</f>
        <v/>
      </c>
    </row>
    <row r="194">
      <c r="E194" s="7" t="n"/>
      <c r="F194" s="8" t="n">
        <v>0.5600000000000001</v>
      </c>
      <c r="G194" s="7">
        <f>IF(E194="","",E194*F194)</f>
        <v/>
      </c>
    </row>
    <row r="195">
      <c r="E195" s="7" t="n"/>
      <c r="F195" s="8" t="n">
        <v>0.5600000000000001</v>
      </c>
      <c r="G195" s="7">
        <f>IF(E195="","",E195*F195)</f>
        <v/>
      </c>
    </row>
    <row r="196">
      <c r="E196" s="7" t="n"/>
      <c r="F196" s="8" t="n">
        <v>0.5600000000000001</v>
      </c>
      <c r="G196" s="7">
        <f>IF(E196="","",E196*F196)</f>
        <v/>
      </c>
    </row>
    <row r="197">
      <c r="E197" s="7" t="n"/>
      <c r="F197" s="8" t="n">
        <v>0.5600000000000001</v>
      </c>
      <c r="G197" s="7">
        <f>IF(E197="","",E197*F197)</f>
        <v/>
      </c>
    </row>
    <row r="198">
      <c r="E198" s="7" t="n"/>
      <c r="F198" s="8" t="n">
        <v>0.5600000000000001</v>
      </c>
      <c r="G198" s="7">
        <f>IF(E198="","",E198*F198)</f>
        <v/>
      </c>
    </row>
    <row r="199">
      <c r="E199" s="7" t="n"/>
      <c r="F199" s="8" t="n">
        <v>0.5600000000000001</v>
      </c>
      <c r="G199" s="7">
        <f>IF(E199="","",E199*F199)</f>
        <v/>
      </c>
    </row>
    <row r="200">
      <c r="E200" s="7" t="n"/>
      <c r="F200" s="8" t="n">
        <v>0.5600000000000001</v>
      </c>
      <c r="G200" s="7">
        <f>IF(E200="","",E200*F200)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売上ダッシュボード ｜ 目標と「あと何本」</t>
        </is>
      </c>
    </row>
    <row r="2">
      <c r="A2" s="2" t="inlineStr">
        <is>
          <t>黄色＝入力セル（目標・平均単価）。それ以外は台帳から自動集計。</t>
        </is>
      </c>
    </row>
    <row r="4">
      <c r="A4" s="9" t="inlineStr">
        <is>
          <t>年間売上目標(税抜)</t>
        </is>
      </c>
      <c r="B4" s="10" t="n">
        <v>80000000</v>
      </c>
    </row>
    <row r="5">
      <c r="A5" s="9" t="inlineStr">
        <is>
          <t>集計期間</t>
        </is>
      </c>
      <c r="B5" s="11" t="inlineStr">
        <is>
          <t>2026年 期（例：1〜12月）</t>
        </is>
      </c>
    </row>
    <row r="6">
      <c r="A6" s="9" t="inlineStr">
        <is>
          <t>平均受注単価(仮)</t>
        </is>
      </c>
      <c r="B6" s="10" t="n">
        <v>600000</v>
      </c>
    </row>
    <row r="8">
      <c r="A8" s="9" t="inlineStr">
        <is>
          <t>受注済み（受注〜入金）</t>
        </is>
      </c>
      <c r="B8" s="12">
        <f>SUMIF('案件台帳'!$D$5:$D$200,"受注",'案件台帳'!$E$5:$E$200)+SUMIF('案件台帳'!$D$5:$D$200,"制作中",'案件台帳'!$E$5:$E$200)+SUMIF('案件台帳'!$D$5:$D$200,"納品",'案件台帳'!$E$5:$E$200)+SUMIF('案件台帳'!$D$5:$D$200,"請求",'案件台帳'!$E$5:$E$200)+SUMIF('案件台帳'!$D$5:$D$200,"入金",'案件台帳'!$E$5:$E$200)</f>
        <v/>
      </c>
    </row>
    <row r="9">
      <c r="A9" s="9" t="inlineStr">
        <is>
          <t>うち納品済み（売上計上）</t>
        </is>
      </c>
      <c r="B9" s="12">
        <f>SUMIF('案件台帳'!$D$5:$D$200,"納品",'案件台帳'!$E$5:$E$200)+SUMIF('案件台帳'!$D$5:$D$200,"請求",'案件台帳'!$E$5:$E$200)+SUMIF('案件台帳'!$D$5:$D$200,"入金",'案件台帳'!$E$5:$E$200)</f>
        <v/>
      </c>
    </row>
    <row r="10">
      <c r="A10" s="9" t="inlineStr">
        <is>
          <t>商談中（見込み）</t>
        </is>
      </c>
      <c r="B10" s="12">
        <f>SUMIF('案件台帳'!$D$5:$D$200,"リード",'案件台帳'!$E$5:$E$200)+SUMIF('案件台帳'!$D$5:$D$200,"商談",'案件台帳'!$E$5:$E$200)+SUMIF('案件台帳'!$D$5:$D$200,"内定",'案件台帳'!$E$5:$E$200)</f>
        <v/>
      </c>
    </row>
    <row r="11">
      <c r="A11" s="9" t="inlineStr">
        <is>
          <t>残り目標（目標−受注済み）</t>
        </is>
      </c>
      <c r="B11" s="12">
        <f>B4-B8</f>
        <v/>
      </c>
    </row>
    <row r="12">
      <c r="A12" s="9" t="inlineStr">
        <is>
          <t>達成率（受注済み÷目標）</t>
        </is>
      </c>
      <c r="B12" s="13">
        <f>IF(B4=0,0,B8/B4)</f>
        <v/>
      </c>
    </row>
    <row r="13">
      <c r="A13" s="14" t="inlineStr">
        <is>
          <t>★ あと何本（残り÷平均単価）</t>
        </is>
      </c>
      <c r="B13" s="15">
        <f>IF(B6=0,0,ROUNDUP(B11/B6,0))</f>
        <v/>
      </c>
    </row>
    <row r="16">
      <c r="A16" s="9" t="inlineStr">
        <is>
          <t>単価帯別シミュレーション（残り目標をこの商品で埋めるなら何本？）</t>
        </is>
      </c>
    </row>
    <row r="17">
      <c r="A17" s="3" t="inlineStr">
        <is>
          <t>商品例</t>
        </is>
      </c>
      <c r="B17" s="3" t="inlineStr">
        <is>
          <t>単価(税抜)</t>
        </is>
      </c>
      <c r="C17" s="3" t="inlineStr">
        <is>
          <t>あと何本</t>
        </is>
      </c>
    </row>
    <row r="18">
      <c r="A18" s="4" t="inlineStr">
        <is>
          <t>採用動画 スタンダード</t>
        </is>
      </c>
      <c r="B18" s="5" t="n">
        <v>650000</v>
      </c>
      <c r="C18" s="16">
        <f>IF(B$11&lt;=0,0,ROUNDUP($B$11/B18,0))</f>
        <v/>
      </c>
    </row>
    <row r="19">
      <c r="A19" s="4" t="inlineStr">
        <is>
          <t>採用動画 プレミアム</t>
        </is>
      </c>
      <c r="B19" s="5" t="n">
        <v>1200000</v>
      </c>
      <c r="C19" s="16">
        <f>IF(B$11&lt;=0,0,ROUNDUP($B$11/B19,0))</f>
        <v/>
      </c>
    </row>
    <row r="20">
      <c r="A20" s="4" t="inlineStr">
        <is>
          <t>会社紹介 スタンダード</t>
        </is>
      </c>
      <c r="B20" s="5" t="n">
        <v>550000</v>
      </c>
      <c r="C20" s="16">
        <f>IF(B$11&lt;=0,0,ROUNDUP($B$11/B20,0))</f>
        <v/>
      </c>
    </row>
    <row r="21">
      <c r="A21" s="4" t="inlineStr">
        <is>
          <t>撮って出し スタンダード</t>
        </is>
      </c>
      <c r="B21" s="5" t="n">
        <v>450000</v>
      </c>
      <c r="C21" s="16">
        <f>IF(B$11&lt;=0,0,ROUNDUP($B$11/B21,0))</f>
        <v/>
      </c>
    </row>
    <row r="22">
      <c r="A22" s="4" t="inlineStr">
        <is>
          <t>ゲームPV スタンダード</t>
        </is>
      </c>
      <c r="B22" s="5" t="n">
        <v>400000</v>
      </c>
      <c r="C22" s="16">
        <f>IF(B$11&lt;=0,0,ROUNDUP($B$11/B22,0))</f>
        <v/>
      </c>
    </row>
    <row r="23">
      <c r="A23" s="4" t="inlineStr">
        <is>
          <t>MV・CG スタンダード</t>
        </is>
      </c>
      <c r="B23" s="5" t="n">
        <v>2000000</v>
      </c>
      <c r="C23" s="16">
        <f>IF(B$11&lt;=0,0,ROUNDUP($B$11/B23,0))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有限会社北麓 受注・納品管理 ｜ 使い方</t>
        </is>
      </c>
    </row>
    <row r="2">
      <c r="A2" t="inlineStr"/>
    </row>
    <row r="3">
      <c r="A3" s="9" t="inlineStr">
        <is>
          <t>■ 毎回やること</t>
        </is>
      </c>
    </row>
    <row r="4">
      <c r="A4" t="inlineStr">
        <is>
          <t>・案件が動いたら『案件台帳』に1行追加し、ステージを更新する（商談→受注→制作中→納品→請求→入金）。</t>
        </is>
      </c>
    </row>
    <row r="5">
      <c r="A5" t="inlineStr">
        <is>
          <t>・金額(税抜)を入れれば、粗利は粗利率(既定0.56)から自動計算。案件で粗利率は上書き可。</t>
        </is>
      </c>
    </row>
    <row r="6">
      <c r="A6" t="inlineStr"/>
    </row>
    <row r="7">
      <c r="A7" s="9" t="inlineStr">
        <is>
          <t>■ ダッシュボードの見方</t>
        </is>
      </c>
    </row>
    <row r="8">
      <c r="A8" t="inlineStr">
        <is>
          <t>・年間目標(B4)と平均単価(B6)＝黄色セルだけ調整すればよい。</t>
        </is>
      </c>
    </row>
    <row r="9">
      <c r="A9" t="inlineStr">
        <is>
          <t>・『あと何本』(B13)＝残り目標 ÷ 平均単価。3人で『残り◯本/商談◯件』の会話に使う。</t>
        </is>
      </c>
    </row>
    <row r="10">
      <c r="A10" t="inlineStr">
        <is>
          <t>・単価帯別シミュは、価格表の代表単価で『この商品なら何本で埋まるか』を出す。</t>
        </is>
      </c>
    </row>
    <row r="11">
      <c r="A11" t="inlineStr"/>
    </row>
    <row r="12">
      <c r="A12" s="9" t="inlineStr">
        <is>
          <t>■ ステージ定義</t>
        </is>
      </c>
    </row>
    <row r="13">
      <c r="A13" t="inlineStr">
        <is>
          <t>リード=見込みの種 / 商談=提案中 / 内定=ほぼ受注 / 受注=確定 / 制作中 / 納品=売上計上 / 請求 / 入金 / 失注</t>
        </is>
      </c>
    </row>
    <row r="14">
      <c r="A14" t="inlineStr">
        <is>
          <t>※『受注済み』集計は 受注〜入金、『納品済み(売上計上)』は 納品〜入金 を合算。</t>
        </is>
      </c>
    </row>
    <row r="15">
      <c r="A15" t="inlineStr"/>
    </row>
    <row r="16">
      <c r="A16" s="9" t="inlineStr">
        <is>
          <t>■ 連動</t>
        </is>
      </c>
    </row>
    <row r="17">
      <c r="A17" t="inlineStr">
        <is>
          <t>・単価は斉藤さん作成『価格表・クリエイター報酬設計.xlsx』と揃える。価格改定時はこちらの代表単価も更新。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2026-06-24T03:52:58Z</dcterms:created>
  <dcterms:modified xsi:type="dcterms:W3CDTF">2026-06-24T03:52:58Z</dcterms:modified>
</cp:coreProperties>
</file>