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9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8.5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10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1" fillId="2" borderId="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2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3" fillId="0" borderId="3" applyAlignment="1" pivotButton="0" quotePrefix="0" xfId="0">
      <alignment horizontal="center" vertical="center"/>
    </xf>
    <xf numFmtId="164" fontId="13" fillId="0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3" fillId="0" borderId="4" applyAlignment="1" pivotButton="0" quotePrefix="0" xfId="0">
      <alignment horizontal="right" vertical="center"/>
    </xf>
    <xf numFmtId="0" fontId="15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5" fillId="2" borderId="5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2" borderId="6" applyAlignment="1" pivotButton="0" quotePrefix="0" xfId="0">
      <alignment horizontal="center" vertical="center"/>
    </xf>
    <xf numFmtId="0" fontId="16" fillId="0" borderId="3" pivotButton="0" quotePrefix="0" xfId="0"/>
    <xf numFmtId="0" fontId="1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株式会社ファイアープレイス</t>
        </is>
      </c>
      <c r="B3" s="3" t="n"/>
      <c r="C3" s="3" t="n"/>
      <c r="E3" s="4" t="inlineStr">
        <is>
          <t>作成日：</t>
        </is>
      </c>
      <c r="F3" s="5" t="inlineStr">
        <is>
          <t>2026/09/03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07-079</t>
        </is>
      </c>
    </row>
    <row r="5">
      <c r="A5" s="7" t="inlineStr">
        <is>
          <t>〒212-0012　川崎市幸区中幸町3-8-1
7階ロックヒルズガーデン</t>
        </is>
      </c>
    </row>
    <row r="6">
      <c r="E6" s="8" t="inlineStr">
        <is>
          <t>株式会社バレンサー</t>
        </is>
      </c>
    </row>
    <row r="7">
      <c r="E7" s="9" t="inlineStr">
        <is>
          <t>登録番号：T8160001022136</t>
        </is>
      </c>
    </row>
    <row r="8">
      <c r="E8" s="9" t="inlineStr">
        <is>
          <t>〒530-0001</t>
        </is>
      </c>
    </row>
    <row r="9">
      <c r="E9" s="9" t="inlineStr">
        <is>
          <t>大阪府大阪市北区梅田1-11-4</t>
        </is>
      </c>
    </row>
    <row r="10">
      <c r="E10" s="9" t="inlineStr">
        <is>
          <t>大阪駅前第4ビル9階 923 1542号</t>
        </is>
      </c>
    </row>
    <row r="11">
      <c r="E11" s="9" t="inlineStr">
        <is>
          <t>連絡先：06-4400-5365</t>
        </is>
      </c>
    </row>
    <row r="13">
      <c r="A13" s="10" t="inlineStr">
        <is>
          <t>下記の通りご請求申し上げます。</t>
        </is>
      </c>
    </row>
    <row r="15" ht="34" customHeight="1">
      <c r="A15" s="11" t="inlineStr">
        <is>
          <t>合計金額</t>
        </is>
      </c>
      <c r="B15" s="12" t="n"/>
      <c r="C15" s="12" t="n"/>
      <c r="D15" s="13">
        <f>E31</f>
        <v/>
      </c>
      <c r="E15" s="12" t="n"/>
      <c r="F15" s="12" t="n"/>
    </row>
    <row r="17">
      <c r="A17" s="14" t="inlineStr">
        <is>
          <t xml:space="preserve">　商品</t>
        </is>
      </c>
      <c r="B17" s="15" t="n"/>
      <c r="C17" s="15" t="n"/>
      <c r="D17" s="16" t="inlineStr">
        <is>
          <t>詳細</t>
        </is>
      </c>
      <c r="E17" s="17" t="inlineStr">
        <is>
          <t xml:space="preserve">金額　</t>
        </is>
      </c>
      <c r="F17" s="15" t="n"/>
    </row>
    <row r="18">
      <c r="A18" s="18" t="inlineStr">
        <is>
          <t>OSAKA共創LAB　ファシリテーター業務委託費</t>
        </is>
      </c>
      <c r="B18" s="19" t="n"/>
      <c r="C18" s="19" t="n"/>
      <c r="D18" s="20" t="inlineStr">
        <is>
          <t>8月分</t>
        </is>
      </c>
      <c r="E18" s="21" t="n">
        <v>272727</v>
      </c>
      <c r="F18" s="19" t="n"/>
    </row>
    <row r="19">
      <c r="A19" s="18" t="inlineStr">
        <is>
          <t>イベント参加日当　8/4・8/18・8/30　計5名日</t>
        </is>
      </c>
      <c r="B19" s="19" t="n"/>
      <c r="C19" s="19" t="n"/>
      <c r="D19" s="20" t="inlineStr">
        <is>
          <t>8月分</t>
        </is>
      </c>
      <c r="E19" s="21" t="n">
        <v>45455</v>
      </c>
      <c r="F19" s="19" t="n"/>
    </row>
    <row r="20">
      <c r="A20" s="18" t="inlineStr">
        <is>
          <t>交通費　往復実費</t>
        </is>
      </c>
      <c r="B20" s="19" t="n"/>
      <c r="C20" s="19" t="n"/>
      <c r="D20" s="20" t="inlineStr">
        <is>
          <t>8月分</t>
        </is>
      </c>
      <c r="E20" s="21" t="n">
        <v>2600</v>
      </c>
      <c r="F20" s="19" t="n"/>
    </row>
    <row r="21">
      <c r="A21" s="18" t="inlineStr">
        <is>
          <t>イベント参加日当　7/25　計2名日</t>
        </is>
      </c>
      <c r="B21" s="19" t="n"/>
      <c r="C21" s="19" t="n"/>
      <c r="D21" s="20" t="inlineStr">
        <is>
          <t>7月分</t>
        </is>
      </c>
      <c r="E21" s="21" t="n">
        <v>18182</v>
      </c>
      <c r="F21" s="19" t="n"/>
    </row>
    <row r="22">
      <c r="A22" s="18" t="inlineStr">
        <is>
          <t>交通費　往復実費</t>
        </is>
      </c>
      <c r="B22" s="19" t="n"/>
      <c r="C22" s="19" t="n"/>
      <c r="D22" s="20" t="inlineStr">
        <is>
          <t>7月分</t>
        </is>
      </c>
      <c r="E22" s="21" t="n">
        <v>1218</v>
      </c>
      <c r="F22" s="19" t="n"/>
    </row>
    <row r="23">
      <c r="A23" s="18" t="n"/>
      <c r="B23" s="19" t="n"/>
      <c r="C23" s="19" t="n"/>
      <c r="D23" s="20" t="n"/>
      <c r="E23" s="21" t="n"/>
      <c r="F23" s="19" t="n"/>
    </row>
    <row r="24">
      <c r="A24" s="18" t="n"/>
      <c r="B24" s="19" t="n"/>
      <c r="C24" s="19" t="n"/>
      <c r="D24" s="20" t="n"/>
      <c r="E24" s="21" t="n"/>
      <c r="F24" s="19" t="n"/>
    </row>
    <row r="25">
      <c r="A25" s="18" t="n"/>
      <c r="B25" s="19" t="n"/>
      <c r="C25" s="19" t="n"/>
      <c r="D25" s="20" t="n"/>
      <c r="E25" s="21" t="n"/>
      <c r="F25" s="19" t="n"/>
    </row>
    <row r="27">
      <c r="C27" s="22" t="inlineStr">
        <is>
          <t>小計（10%対象）</t>
        </is>
      </c>
      <c r="D27" s="23" t="n"/>
      <c r="E27" s="24">
        <f>SUM(E18:E25)-(0)</f>
        <v/>
      </c>
      <c r="F27" s="23" t="n"/>
    </row>
    <row r="28">
      <c r="C28" s="22" t="inlineStr">
        <is>
          <t xml:space="preserve">　　　（8%対象）</t>
        </is>
      </c>
      <c r="D28" s="23" t="n"/>
      <c r="E28" s="24">
        <f>0</f>
        <v/>
      </c>
      <c r="F28" s="23" t="n"/>
    </row>
    <row r="29">
      <c r="C29" s="22" t="inlineStr">
        <is>
          <t>消費税（10%対象）</t>
        </is>
      </c>
      <c r="D29" s="23" t="n"/>
      <c r="E29" s="24">
        <f>ROUNDDOWN(E27*0.1,0)</f>
        <v/>
      </c>
      <c r="F29" s="23" t="n"/>
    </row>
    <row r="30">
      <c r="C30" s="22" t="inlineStr">
        <is>
          <t xml:space="preserve">　　　　　（8%対象）</t>
        </is>
      </c>
      <c r="D30" s="23" t="n"/>
      <c r="E30" s="24">
        <f>ROUNDDOWN(E28*0.08,0)</f>
        <v/>
      </c>
      <c r="F30" s="23" t="n"/>
    </row>
    <row r="31">
      <c r="C31" s="25" t="inlineStr">
        <is>
          <t>合計金額</t>
        </is>
      </c>
      <c r="D31" s="26" t="n"/>
      <c r="E31" s="27">
        <f>E27+E28+E29+E30</f>
        <v/>
      </c>
      <c r="F31" s="26" t="n"/>
    </row>
    <row r="33">
      <c r="A33" s="28" t="inlineStr">
        <is>
          <t>【振込先】</t>
        </is>
      </c>
      <c r="E33" s="29" t="inlineStr">
        <is>
          <t>お支払い期日</t>
        </is>
      </c>
      <c r="F33" s="30" t="n"/>
    </row>
    <row r="34">
      <c r="A34" s="31" t="inlineStr">
        <is>
          <t>金融機関</t>
        </is>
      </c>
      <c r="B34" s="32" t="inlineStr">
        <is>
          <t>みずほ銀行　大津支店</t>
        </is>
      </c>
      <c r="E34" s="33" t="inlineStr">
        <is>
          <t>2026/09/30</t>
        </is>
      </c>
      <c r="F34" s="30" t="n"/>
    </row>
    <row r="35">
      <c r="A35" s="31" t="inlineStr">
        <is>
          <t>口座</t>
        </is>
      </c>
      <c r="B35" s="32" t="inlineStr">
        <is>
          <t>普通　3016229</t>
        </is>
      </c>
      <c r="E35" s="30" t="n"/>
      <c r="F35" s="30" t="n"/>
    </row>
    <row r="36">
      <c r="A36" s="31" t="inlineStr">
        <is>
          <t>口座名義</t>
        </is>
      </c>
      <c r="B36" s="32" t="inlineStr">
        <is>
          <t>株式会社バレンサー</t>
        </is>
      </c>
    </row>
    <row r="38">
      <c r="A38" s="34" t="inlineStr">
        <is>
          <t>備考</t>
        </is>
      </c>
      <c r="B38" s="19" t="n"/>
      <c r="C38" s="19" t="n"/>
      <c r="D38" s="19" t="n"/>
      <c r="E38" s="19" t="n"/>
      <c r="F38" s="19" t="n"/>
    </row>
    <row r="39" ht="24" customHeight="1">
      <c r="A39" s="35" t="inlineStr">
        <is>
          <t>・本請求は業務委託契約書（2026年7月30日締結）別紙2に基づくものです。月額報酬は同別紙に定める定額（月額300,000円・税込）です。</t>
        </is>
      </c>
    </row>
    <row r="40" ht="24" customHeight="1">
      <c r="A40" s="35" t="inlineStr">
        <is>
          <t>・イベント参加日当は1名1日あたり10,000円（税込）、交通費は同別紙の交通費規定（往復上限3,000円・在来線／バス等）に基づく往復実費です。</t>
        </is>
      </c>
    </row>
    <row r="41" ht="13" customHeight="1">
      <c r="A41" s="35" t="inlineStr">
        <is>
          <t>・上記の日当・交通費は税込金額で表示しており、明細欄には税抜換算額を記載しています。</t>
        </is>
      </c>
    </row>
    <row r="42" ht="13" customHeight="1">
      <c r="A42" s="35" t="inlineStr">
        <is>
          <t>・恐れ入りますが振込手数料は貴社にてご負担をお願いいたします。</t>
        </is>
      </c>
    </row>
  </sheetData>
  <mergeCells count="49">
    <mergeCell ref="A41:F41"/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A42:F42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40:F40"/>
    <mergeCell ref="A15:C15"/>
    <mergeCell ref="A39:F39"/>
    <mergeCell ref="A24:C24"/>
    <mergeCell ref="E7:F7"/>
    <mergeCell ref="E25:F25"/>
    <mergeCell ref="A5:C6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